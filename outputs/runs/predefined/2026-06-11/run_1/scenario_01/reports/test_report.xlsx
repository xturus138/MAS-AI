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ddd&quot;, &quot;dd&quot; &quot;mmm"/>
    <numFmt numFmtId="165" formatCode="ddd&quot;, &quot;dd&quot; &quot;mmm&quot; / &quot;hh&quot;:&quot;mm"/>
  </numFmts>
  <fonts count="19">
    <font>
      <name val="Arial"/>
      <color rgb="FF000000"/>
      <sz val="10"/>
      <scheme val="minor"/>
    </font>
    <font>
      <name val="Proxima Nova"/>
      <b val="1"/>
      <color theme="1"/>
      <sz val="10"/>
    </font>
    <font>
      <name val="Arial"/>
      <color theme="1"/>
      <sz val="10"/>
    </font>
    <font>
      <name val="Proxima Nova"/>
      <b val="1"/>
      <color rgb="FF1155CC"/>
      <sz val="10"/>
      <u val="single"/>
    </font>
    <font>
      <name val="Proxima Nova"/>
      <b val="1"/>
      <color rgb="FF1155CC"/>
      <sz val="10"/>
      <u val="single"/>
    </font>
    <font>
      <name val="Proxima Nova"/>
      <b val="1"/>
      <color rgb="FFFF0000"/>
      <sz val="10"/>
      <u val="single"/>
    </font>
    <font>
      <name val="Proxima Nova"/>
      <b val="1"/>
      <i val="1"/>
      <color rgb="FF0000FF"/>
      <sz val="10"/>
    </font>
    <font>
      <name val="Proxima Nova"/>
      <color theme="1"/>
      <sz val="10"/>
    </font>
    <font>
      <name val="Proxima Nova"/>
      <b val="1"/>
      <color rgb="FF980000"/>
      <sz val="10"/>
    </font>
    <font>
      <name val="Proxima Nova"/>
      <b val="1"/>
      <color rgb="FF274E13"/>
      <sz val="10"/>
    </font>
    <font>
      <name val="Proxima Nova"/>
      <b val="1"/>
      <color rgb="FFFFFFFF"/>
      <sz val="10"/>
    </font>
    <font>
      <name val="Proxima Nova"/>
      <b val="1"/>
      <color rgb="FF4285F4"/>
      <sz val="10"/>
    </font>
    <font>
      <name val="Proxima Nova"/>
      <b val="1"/>
      <color rgb="FFEA4335"/>
      <sz val="10"/>
    </font>
    <font>
      <name val="Proxima Nova"/>
      <b val="1"/>
      <color rgb="FF1155CC"/>
      <sz val="10"/>
      <u val="single"/>
    </font>
    <font>
      <name val="Proxima Nova"/>
      <b val="1"/>
      <color rgb="FF1155CC"/>
      <sz val="10"/>
      <u val="single"/>
    </font>
    <font>
      <name val="Proxima Nova"/>
      <b val="1"/>
      <color rgb="FF1155CC"/>
      <sz val="10"/>
      <u val="single"/>
    </font>
    <font>
      <name val="Proxima Nova"/>
      <color rgb="FF1155CC"/>
      <sz val="10"/>
      <u val="single"/>
    </font>
    <font>
      <name val="Arial"/>
      <family val="2"/>
      <b val="1"/>
      <color rgb="FF000000"/>
      <sz val="10"/>
      <scheme val="minor"/>
    </font>
    <font>
      <name val="Arial"/>
      <family val="2"/>
      <color rgb="FF000000"/>
      <sz val="10"/>
      <scheme val="minor"/>
    </font>
  </fonts>
  <fills count="22">
    <fill>
      <patternFill/>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9">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medium">
        <color rgb="FF000000"/>
      </right>
      <top style="thin">
        <color rgb="FF000000"/>
      </top>
      <bottom style="thin">
        <color rgb="FF000000"/>
      </bottom>
      <diagonal/>
    </border>
    <border>
      <left style="medium">
        <color rgb="FF000000"/>
      </left>
      <right style="thin">
        <color indexed="64"/>
      </right>
      <top/>
      <bottom/>
      <diagonal/>
    </border>
    <border>
      <left/>
      <right style="thin">
        <color indexed="64"/>
      </right>
      <top/>
      <bottom/>
      <diagonal/>
    </border>
    <border>
      <left/>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vertical="top"/>
    </xf>
    <xf numFmtId="0" fontId="3" fillId="2" borderId="2" applyAlignment="1" pivotButton="0" quotePrefix="0" xfId="0">
      <alignment vertical="top"/>
    </xf>
    <xf numFmtId="3" fontId="1" fillId="2" borderId="0" applyAlignment="1" pivotButton="0" quotePrefix="0" xfId="0">
      <alignment horizontal="center"/>
    </xf>
    <xf numFmtId="3" fontId="1" fillId="2" borderId="0" applyAlignment="1" pivotButton="0" quotePrefix="0" xfId="0">
      <alignment horizontal="right"/>
    </xf>
    <xf numFmtId="10" fontId="2" fillId="0" borderId="0" applyAlignment="1" pivotButton="0" quotePrefix="0" xfId="0">
      <alignment vertical="top"/>
    </xf>
    <xf numFmtId="0" fontId="4" fillId="2" borderId="3" applyAlignment="1" pivotButton="0" quotePrefix="0" xfId="0">
      <alignment vertical="top"/>
    </xf>
    <xf numFmtId="3" fontId="1" fillId="2" borderId="0" applyAlignment="1" pivotButton="0" quotePrefix="0" xfId="0">
      <alignment horizontal="center" wrapText="1"/>
    </xf>
    <xf numFmtId="3" fontId="1" fillId="3" borderId="0" applyAlignment="1" pivotButton="0" quotePrefix="0" xfId="0">
      <alignment horizontal="center"/>
    </xf>
    <xf numFmtId="0" fontId="2"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right" vertical="top"/>
    </xf>
    <xf numFmtId="0" fontId="1" fillId="2" borderId="0" applyAlignment="1" pivotButton="0" quotePrefix="0" xfId="0">
      <alignment vertical="top"/>
    </xf>
    <xf numFmtId="0" fontId="6" fillId="0" borderId="0" applyAlignment="1" pivotButton="0" quotePrefix="0" xfId="0">
      <alignment vertical="top"/>
    </xf>
    <xf numFmtId="0" fontId="1" fillId="4" borderId="2" applyAlignment="1" pivotButton="0" quotePrefix="0" xfId="0">
      <alignment vertical="top"/>
    </xf>
    <xf numFmtId="49" fontId="1" fillId="0" borderId="0" applyAlignment="1" pivotButton="0" quotePrefix="0" xfId="0">
      <alignment horizontal="center" vertical="top"/>
    </xf>
    <xf numFmtId="10" fontId="1" fillId="0" borderId="0" applyAlignment="1" pivotButton="0" quotePrefix="0" xfId="0">
      <alignment horizontal="right" vertical="top"/>
    </xf>
    <xf numFmtId="0" fontId="1" fillId="4" borderId="3" applyAlignment="1" pivotButton="0" quotePrefix="0" xfId="0">
      <alignment vertical="top"/>
    </xf>
    <xf numFmtId="3" fontId="1" fillId="0" borderId="0" applyAlignment="1" pivotButton="0" quotePrefix="0" xfId="0">
      <alignment horizontal="center" vertical="top" wrapText="1"/>
    </xf>
    <xf numFmtId="49" fontId="7" fillId="0" borderId="0" applyAlignment="1" pivotButton="0" quotePrefix="0" xfId="0">
      <alignment horizontal="center"/>
    </xf>
    <xf numFmtId="0" fontId="1" fillId="5" borderId="2" applyAlignment="1" pivotButton="0" quotePrefix="0" xfId="0">
      <alignment vertical="top"/>
    </xf>
    <xf numFmtId="0" fontId="7" fillId="0" borderId="0" applyAlignment="1" pivotButton="0" quotePrefix="0" xfId="0">
      <alignment horizontal="center" vertical="top"/>
    </xf>
    <xf numFmtId="10" fontId="7" fillId="0" borderId="0" applyAlignment="1" pivotButton="0" quotePrefix="0" xfId="0">
      <alignment horizontal="right"/>
    </xf>
    <xf numFmtId="49" fontId="7" fillId="0" borderId="0" applyAlignment="1" pivotButton="0" quotePrefix="0" xfId="0">
      <alignment horizontal="center" vertical="top"/>
    </xf>
    <xf numFmtId="0" fontId="8" fillId="6" borderId="0" applyAlignment="1" pivotButton="0" quotePrefix="0" xfId="0">
      <alignment vertical="top"/>
    </xf>
    <xf numFmtId="0" fontId="1" fillId="0" borderId="0" pivotButton="0" quotePrefix="0" xfId="0"/>
    <xf numFmtId="0" fontId="7" fillId="0" borderId="0" applyAlignment="1" pivotButton="0" quotePrefix="0" xfId="0">
      <alignment vertical="top"/>
    </xf>
    <xf numFmtId="0" fontId="1" fillId="0" borderId="2" applyAlignment="1" pivotButton="0" quotePrefix="0" xfId="0">
      <alignment vertical="top"/>
    </xf>
    <xf numFmtId="0" fontId="1" fillId="7" borderId="2" applyAlignment="1" pivotButton="0" quotePrefix="0" xfId="0">
      <alignment vertical="top"/>
    </xf>
    <xf numFmtId="10" fontId="7" fillId="0" borderId="0" applyAlignment="1" pivotButton="0" quotePrefix="0" xfId="0">
      <alignment horizontal="right" vertical="top"/>
    </xf>
    <xf numFmtId="10" fontId="1" fillId="7" borderId="3" applyAlignment="1" pivotButton="0" quotePrefix="0" xfId="0">
      <alignment vertical="top"/>
    </xf>
    <xf numFmtId="3" fontId="7" fillId="0" borderId="0" applyAlignment="1" pivotButton="0" quotePrefix="0" xfId="0">
      <alignment horizontal="center" vertical="top" wrapText="1"/>
    </xf>
    <xf numFmtId="0" fontId="7" fillId="0" borderId="0" applyAlignment="1" pivotButton="0" quotePrefix="0" xfId="0">
      <alignment horizontal="center"/>
    </xf>
    <xf numFmtId="0" fontId="9" fillId="8" borderId="0" applyAlignment="1" pivotButton="0" quotePrefix="0" xfId="0">
      <alignment vertical="top"/>
    </xf>
    <xf numFmtId="0" fontId="1" fillId="9" borderId="2" applyAlignment="1" pivotButton="0" quotePrefix="0" xfId="0">
      <alignment vertical="top"/>
    </xf>
    <xf numFmtId="0" fontId="1" fillId="5" borderId="3" applyAlignment="1" pivotButton="0" quotePrefix="0" xfId="0">
      <alignment vertical="top"/>
    </xf>
    <xf numFmtId="0" fontId="1" fillId="10" borderId="2" applyAlignment="1" pivotButton="0" quotePrefix="0" xfId="0">
      <alignment vertical="top"/>
    </xf>
    <xf numFmtId="0" fontId="8" fillId="0" borderId="0" applyAlignment="1" pivotButton="0" quotePrefix="0" xfId="0">
      <alignment wrapText="1"/>
    </xf>
    <xf numFmtId="0" fontId="1" fillId="11" borderId="2" applyAlignment="1" pivotButton="0" quotePrefix="0" xfId="0">
      <alignment vertical="top"/>
    </xf>
    <xf numFmtId="0" fontId="1" fillId="12" borderId="2" applyAlignment="1" pivotButton="0" quotePrefix="0" xfId="0">
      <alignment vertical="top" wrapText="1"/>
    </xf>
    <xf numFmtId="0" fontId="10" fillId="13" borderId="3" applyAlignment="1" pivotButton="0" quotePrefix="0" xfId="0">
      <alignment vertical="top" wrapText="1"/>
    </xf>
    <xf numFmtId="0" fontId="1" fillId="14" borderId="2" applyAlignment="1" pivotButton="0" quotePrefix="0" xfId="0">
      <alignment vertical="top"/>
    </xf>
    <xf numFmtId="0" fontId="11" fillId="0" borderId="0" applyAlignment="1" pivotButton="0" quotePrefix="0" xfId="0">
      <alignment vertical="top"/>
    </xf>
    <xf numFmtId="164" fontId="10" fillId="13" borderId="0" pivotButton="0" quotePrefix="0" xfId="0"/>
    <xf numFmtId="164" fontId="2" fillId="0" borderId="0" pivotButton="0" quotePrefix="0" xfId="0"/>
    <xf numFmtId="0" fontId="1" fillId="6" borderId="2" applyAlignment="1" pivotButton="0" quotePrefix="0" xfId="0">
      <alignment vertical="top"/>
    </xf>
    <xf numFmtId="0" fontId="9" fillId="15" borderId="2" applyAlignment="1" pivotButton="0" quotePrefix="0" xfId="0">
      <alignment vertical="top" wrapText="1"/>
    </xf>
    <xf numFmtId="10" fontId="1" fillId="12" borderId="3" applyAlignment="1" pivotButton="0" quotePrefix="0" xfId="0">
      <alignment vertical="top" wrapText="1"/>
    </xf>
    <xf numFmtId="0" fontId="12" fillId="15" borderId="2" applyAlignment="1" pivotButton="0" quotePrefix="0" xfId="0">
      <alignment vertical="top" wrapText="1"/>
    </xf>
    <xf numFmtId="0" fontId="12" fillId="0" borderId="0" applyAlignment="1" pivotButton="0" quotePrefix="0" xfId="0">
      <alignment vertical="top"/>
    </xf>
    <xf numFmtId="0" fontId="7" fillId="16" borderId="2" applyAlignment="1" pivotButton="0" quotePrefix="0" xfId="0">
      <alignment vertical="top" wrapText="1"/>
    </xf>
    <xf numFmtId="0" fontId="1" fillId="15" borderId="2" applyAlignment="1" pivotButton="0" quotePrefix="0" xfId="0">
      <alignment vertical="top" wrapText="1"/>
    </xf>
    <xf numFmtId="0" fontId="1" fillId="0" borderId="3" applyAlignment="1" pivotButton="0" quotePrefix="0" xfId="0">
      <alignment vertical="top" wrapText="1"/>
    </xf>
    <xf numFmtId="0" fontId="11" fillId="0" borderId="2" applyAlignment="1" pivotButton="0" quotePrefix="0" xfId="0">
      <alignment vertical="top" wrapText="1"/>
    </xf>
    <xf numFmtId="164" fontId="9" fillId="0" borderId="0" applyAlignment="1" pivotButton="0" quotePrefix="0" xfId="0">
      <alignment vertical="top"/>
    </xf>
    <xf numFmtId="0" fontId="1" fillId="17" borderId="2" applyAlignment="1" pivotButton="0" quotePrefix="0" xfId="0">
      <alignment vertical="top" wrapText="1"/>
    </xf>
    <xf numFmtId="0" fontId="1" fillId="18" borderId="0" applyAlignment="1" pivotButton="0" quotePrefix="0" xfId="0">
      <alignment wrapText="1"/>
    </xf>
    <xf numFmtId="49" fontId="1" fillId="18" borderId="0" applyAlignment="1" pivotButton="0" quotePrefix="0" xfId="0">
      <alignment horizontal="center" vertical="top"/>
    </xf>
    <xf numFmtId="10" fontId="1" fillId="18" borderId="0" applyAlignment="1" pivotButton="0" quotePrefix="0" xfId="0">
      <alignment horizontal="right" vertical="top"/>
    </xf>
    <xf numFmtId="0" fontId="9" fillId="0" borderId="3" applyAlignment="1" pivotButton="0" quotePrefix="0" xfId="0">
      <alignment vertical="top" wrapText="1"/>
    </xf>
    <xf numFmtId="0" fontId="1" fillId="4" borderId="2" applyAlignment="1" pivotButton="0" quotePrefix="0" xfId="0">
      <alignment vertical="top" wrapText="1"/>
    </xf>
    <xf numFmtId="0" fontId="1" fillId="0" borderId="0" applyAlignment="1" pivotButton="0" quotePrefix="0" xfId="0">
      <alignment horizontal="center" vertical="top"/>
    </xf>
    <xf numFmtId="10" fontId="1" fillId="0" borderId="0" applyAlignment="1" pivotButton="0" quotePrefix="0" xfId="0">
      <alignment horizontal="right"/>
    </xf>
    <xf numFmtId="0" fontId="8" fillId="0" borderId="3" applyAlignment="1" pivotButton="0" quotePrefix="0" xfId="0">
      <alignment vertical="top" wrapText="1"/>
    </xf>
    <xf numFmtId="0" fontId="1" fillId="0" borderId="0" applyAlignment="1" pivotButton="0" quotePrefix="0" xfId="0">
      <alignment horizontal="center"/>
    </xf>
    <xf numFmtId="0" fontId="1" fillId="18" borderId="4" applyAlignment="1" pivotButton="0" quotePrefix="0" xfId="0">
      <alignment horizontal="center" vertical="top" wrapText="1"/>
    </xf>
    <xf numFmtId="0" fontId="1" fillId="15" borderId="4" applyAlignment="1" pivotButton="0" quotePrefix="0" xfId="0">
      <alignment horizontal="center" vertical="top" wrapText="1"/>
    </xf>
    <xf numFmtId="0" fontId="1" fillId="2" borderId="4" applyAlignment="1" pivotButton="0" quotePrefix="0" xfId="0">
      <alignment horizontal="center" vertical="top" wrapText="1"/>
    </xf>
    <xf numFmtId="0" fontId="1" fillId="2" borderId="4" applyAlignment="1" pivotButton="0" quotePrefix="0" xfId="0">
      <alignment horizontal="center" wrapText="1"/>
    </xf>
    <xf numFmtId="0" fontId="1" fillId="2" borderId="9" applyAlignment="1" pivotButton="0" quotePrefix="0" xfId="0">
      <alignment horizontal="center" wrapText="1"/>
    </xf>
    <xf numFmtId="0" fontId="1" fillId="2" borderId="6" applyAlignment="1" pivotButton="0" quotePrefix="0" xfId="0">
      <alignment horizontal="center" wrapText="1"/>
    </xf>
    <xf numFmtId="0" fontId="1" fillId="19" borderId="10" applyAlignment="1" pivotButton="0" quotePrefix="0" xfId="0">
      <alignment horizontal="center" wrapText="1"/>
    </xf>
    <xf numFmtId="0" fontId="1" fillId="19" borderId="4" applyAlignment="1" pivotButton="0" quotePrefix="0" xfId="0">
      <alignment horizontal="center" wrapText="1"/>
    </xf>
    <xf numFmtId="0" fontId="1" fillId="19" borderId="11" applyAlignment="1" pivotButton="0" quotePrefix="0" xfId="0">
      <alignment wrapText="1"/>
    </xf>
    <xf numFmtId="0" fontId="1" fillId="20" borderId="12" applyAlignment="1" pivotButton="0" quotePrefix="0" xfId="0">
      <alignment horizontal="center" wrapText="1"/>
    </xf>
    <xf numFmtId="0" fontId="1" fillId="20" borderId="4" applyAlignment="1" pivotButton="0" quotePrefix="0" xfId="0">
      <alignment horizontal="center" wrapText="1"/>
    </xf>
    <xf numFmtId="0" fontId="1" fillId="21" borderId="10" applyAlignment="1" pivotButton="0" quotePrefix="0" xfId="0">
      <alignment horizontal="center" wrapText="1"/>
    </xf>
    <xf numFmtId="0" fontId="1" fillId="21" borderId="4" applyAlignment="1" pivotButton="0" quotePrefix="0" xfId="0">
      <alignment horizontal="center" wrapText="1"/>
    </xf>
    <xf numFmtId="0" fontId="1" fillId="21" borderId="11" applyAlignment="1" pivotButton="0" quotePrefix="0" xfId="0">
      <alignment horizontal="center" wrapText="1"/>
    </xf>
    <xf numFmtId="0" fontId="1" fillId="11" borderId="0" applyAlignment="1" pivotButton="0" quotePrefix="0" xfId="0">
      <alignment horizontal="center" vertical="top" wrapText="1"/>
    </xf>
    <xf numFmtId="0" fontId="1" fillId="8" borderId="0" applyAlignment="1" pivotButton="0" quotePrefix="0" xfId="0">
      <alignment vertical="top" wrapText="1"/>
    </xf>
    <xf numFmtId="0" fontId="2" fillId="8" borderId="0" applyAlignment="1" pivotButton="0" quotePrefix="0" xfId="0">
      <alignment vertical="top"/>
    </xf>
    <xf numFmtId="9" fontId="1" fillId="8" borderId="0" applyAlignment="1" pivotButton="0" quotePrefix="0" xfId="0">
      <alignment horizontal="center" vertical="top" wrapText="1"/>
    </xf>
    <xf numFmtId="0" fontId="2" fillId="8" borderId="1" applyAlignment="1" pivotButton="0" quotePrefix="0" xfId="0">
      <alignment vertical="top"/>
    </xf>
    <xf numFmtId="0" fontId="2" fillId="8" borderId="2" applyAlignment="1" pivotButton="0" quotePrefix="0" xfId="0">
      <alignment vertical="top"/>
    </xf>
    <xf numFmtId="164" fontId="2" fillId="8" borderId="0" applyAlignment="1" pivotButton="0" quotePrefix="0" xfId="0">
      <alignment vertical="top"/>
    </xf>
    <xf numFmtId="0" fontId="2" fillId="8" borderId="3" applyAlignment="1" pivotButton="0" quotePrefix="0" xfId="0">
      <alignment vertical="top"/>
    </xf>
    <xf numFmtId="165" fontId="2" fillId="8" borderId="0" applyAlignment="1" pivotButton="0" quotePrefix="0" xfId="0">
      <alignment vertical="top"/>
    </xf>
    <xf numFmtId="0" fontId="1" fillId="15" borderId="0" applyAlignment="1" pivotButton="0" quotePrefix="0" xfId="0">
      <alignment vertical="top" wrapText="1"/>
    </xf>
    <xf numFmtId="0" fontId="7" fillId="15" borderId="0"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1" fillId="0" borderId="2" applyAlignment="1" pivotButton="0" quotePrefix="0" xfId="0">
      <alignment vertical="top" wrapText="1"/>
    </xf>
    <xf numFmtId="164" fontId="7" fillId="0" borderId="0" applyAlignment="1" pivotButton="0" quotePrefix="0" xfId="0">
      <alignment horizontal="center" vertical="top" wrapText="1"/>
    </xf>
    <xf numFmtId="0" fontId="7" fillId="0" borderId="0" applyAlignment="1" pivotButton="0" quotePrefix="0" xfId="0">
      <alignment horizontal="center" vertical="top" wrapText="1"/>
    </xf>
    <xf numFmtId="0" fontId="16" fillId="15" borderId="0" applyAlignment="1" pivotButton="0" quotePrefix="0" xfId="0">
      <alignment vertical="top" wrapText="1"/>
    </xf>
    <xf numFmtId="0" fontId="2" fillId="15" borderId="3" applyAlignment="1" pivotButton="0" quotePrefix="0" xfId="0">
      <alignment vertical="top"/>
    </xf>
    <xf numFmtId="165" fontId="2" fillId="15" borderId="0" applyAlignment="1" pivotButton="0" quotePrefix="0" xfId="0">
      <alignment vertical="top"/>
    </xf>
    <xf numFmtId="0" fontId="2" fillId="15" borderId="0" applyAlignment="1" pivotButton="0" quotePrefix="0" xfId="0">
      <alignment vertical="top"/>
    </xf>
    <xf numFmtId="0" fontId="2" fillId="15" borderId="2" applyAlignment="1" pivotButton="0" quotePrefix="0" xfId="0">
      <alignment vertical="top"/>
    </xf>
    <xf numFmtId="164" fontId="2" fillId="15" borderId="0" applyAlignment="1" pivotButton="0" quotePrefix="0" xfId="0">
      <alignment vertical="top"/>
    </xf>
    <xf numFmtId="0" fontId="5" fillId="0" borderId="0" applyAlignment="1" pivotButton="0" quotePrefix="0" xfId="0">
      <alignment vertical="top"/>
    </xf>
    <xf numFmtId="0" fontId="0" fillId="0" borderId="0" pivotButton="0" quotePrefix="0" xfId="0"/>
    <xf numFmtId="0" fontId="13" fillId="19" borderId="5" applyAlignment="1" pivotButton="0" quotePrefix="0" xfId="0">
      <alignment horizontal="center" vertical="top" wrapText="1"/>
    </xf>
    <xf numFmtId="0" fontId="0" fillId="0" borderId="6" pivotButton="0" quotePrefix="0" xfId="0"/>
    <xf numFmtId="0" fontId="14" fillId="20" borderId="13" applyAlignment="1" pivotButton="0" quotePrefix="0" xfId="0">
      <alignment horizontal="center" vertical="top" wrapText="1"/>
    </xf>
    <xf numFmtId="0" fontId="0" fillId="0" borderId="7" pivotButton="0" quotePrefix="0" xfId="0"/>
    <xf numFmtId="0" fontId="15" fillId="21" borderId="10" applyAlignment="1" pivotButton="0" quotePrefix="0" xfId="0">
      <alignment horizontal="center" vertical="top" wrapText="1"/>
    </xf>
    <xf numFmtId="0" fontId="0" fillId="0" borderId="8" pivotButton="0" quotePrefix="0" xfId="0"/>
    <xf numFmtId="0" fontId="1" fillId="11" borderId="0" applyAlignment="1" pivotButton="0" quotePrefix="0" xfId="0">
      <alignment horizontal="left" vertical="top" wrapText="1"/>
    </xf>
    <xf numFmtId="0" fontId="1" fillId="15"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applyAlignment="1" pivotButton="0" quotePrefix="0" xfId="0">
      <alignment horizontal="left" vertical="top" wrapText="1"/>
    </xf>
    <xf numFmtId="0" fontId="18" fillId="0" borderId="0" applyAlignment="1" pivotButton="0" quotePrefix="0" xfId="0">
      <alignment horizontal="left" vertical="top" wrapText="1"/>
    </xf>
    <xf numFmtId="0" fontId="7" fillId="0" borderId="14" applyAlignment="1" pivotButton="0" quotePrefix="0" xfId="0">
      <alignment vertical="top" wrapText="1"/>
    </xf>
    <xf numFmtId="0" fontId="0" fillId="0" borderId="15"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Y1" authorId="0" shapeId="0">
      <text>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text>
    </comment>
    <comment ref="A11" authorId="0" shapeId="0">
      <text>
        <t>This TCS ID must be filled in for easy tracking or mention.
Use this format:
TCS-[Module Code]-[Sequence Number]
Example:
1. TCS-WEB-01-001
2. TCS-CMS-01-001</t>
      </text>
    </comment>
    <comment ref="B11" authorId="0" shapeId="0">
      <text>
        <t>Fill this with the menu name of the level 1</t>
      </text>
    </comment>
    <comment ref="C11" authorId="0" shapeId="0">
      <text>
        <t xml:space="preserve">Fill this with the menu name of the level 2.
If it only has level 1, fill it with (-) or minus sign. </t>
      </text>
    </comment>
    <comment ref="D11" authorId="0" shapeId="0">
      <text>
        <t>Fill this with the menu name of the level 3.
If it only has levels 1-2, fill it with (-) or minus sign.
You can hide this column if all of the menus do not have level 3.</t>
      </text>
    </comment>
    <comment ref="E11" authorId="0" shapeId="0">
      <text>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text>
    </comment>
    <comment ref="F11" authorId="0" shapeId="0">
      <text>
        <t>Write the test step in as much detail as possible to ease the process of running the test case scenario.</t>
      </text>
    </comment>
    <comment ref="G11" authorId="0" shapeId="0">
      <text>
        <t>Write all the results that are expected when running the test case scenario.
Use numbering if the expected result is more than one.
Example:
1. Expected Result 1
2. Expected Result 2</t>
      </text>
    </comment>
    <comment ref="H11" authorId="0" shapeId="0">
      <text>
        <t xml:space="preserve">TEST TYPE INFORMATION
Pos. : Positive Test Case, expected to function correctly (valid data)
Neg. : Negative Test Case, expected to fail (invalid or incorrect data) </t>
      </text>
    </comment>
    <comment ref="I11" authorId="0" shapeId="0">
      <text>
        <t>Write the user role who will run the test case scenario</t>
      </text>
    </comment>
    <comment ref="K11" authorId="0" shapeId="0">
      <text>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text>
    </comment>
    <comment ref="L11" authorId="0" shapeId="0">
      <text>
        <t>Each time the status is updated, this 'Updated At' date should be updated
Format date: 
Day, DD Mon (Ex: Mon, 29 Apr)
Use the keyboard shortcut CTRL/CMD + ; 
to fill the cell with today's date</t>
      </text>
    </comment>
    <comment ref="M11" authorId="0" shapeId="0">
      <text>
        <t>Fill this column with the analyst name who is in charge/testing the scenario
Adjust the analyst name or add a new PIC in the 'Summary' Sheet &gt; 'Functional Testing' Section &gt; 'Testing Update - Analyst' Table</t>
      </text>
    </comment>
    <comment ref="N11" authorId="0" shapeId="0">
      <text>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text>
    </comment>
    <comment ref="O11" authorId="0" shapeId="0">
      <text>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text>
    </comment>
    <comment ref="P11" authorId="0" shapeId="0">
      <text>
        <t>Each time the status is updated, this 'Updated At' date time should be updated
Format date: 
Day, DD Mon /HH:MM (Ex: Mon, 29 Apr / 12:12)
Use the keyboard shortcut CTRL/CMD + ALT/OPT + SHIFT + ; 
to fill the cell with today's date time</t>
      </text>
    </comment>
    <comment ref="Q11" authorId="0" shapeId="0">
      <text>
        <t>Define the issue scope based on the PIC who will fix it.
[SCOPE INFORMATION]
1. BE: Backend Developer
2. FE: Frontend Developer
3. BE - FE: BE needs to fix it first then FE fixes it
4. FE - BE: FE needs to fix it first then BE fixes it</t>
      </text>
    </comment>
    <comment ref="R11" authorId="0" shapeId="0">
      <text>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text>
    </comment>
    <comment ref="S11" authorId="0" shapeId="0">
      <text>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text>
    </comment>
    <comment ref="T11" authorId="0" shapeId="0">
      <text>
        <t>Each time the status is updated, this 'Updated At' date time should be updated
Format date: 
Day, DD Mon /HH:MM (Ex: Mon, 29 Apr / 12:12)
Use the keyboard shortcut CTRL/CMD + ALT/OPT + SHIFT + ; 
to fill the cell with today's date time</t>
      </text>
    </comment>
    <comment ref="U11" authorId="0" shapeId="0">
      <text>
        <t>Define the current PIC who should/is fixing the issue.
1. BE: Backend Developer
2. FE: Frontend Developer</t>
      </text>
    </comment>
    <comment ref="V11" authorId="0" shapeId="0">
      <text>
        <t>Assign the BE Developer name who should fix the issue.
Adjust the BE Developer name or add a new PIC in the 'Summary' Sheet &gt; 'Functional Testing' Section &gt; 'Developer Update' Section.
If the BE Developer name is marked in BOLD BLUE, the developer is the current PIC (PIC Now).</t>
      </text>
    </comment>
    <comment ref="W11" authorId="0" shapeId="0">
      <text>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text>
    </comment>
    <comment ref="X11" authorId="0" shapeId="0">
      <text>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text>
    </comment>
    <comment ref="Y11" authorId="0" shapeId="0">
      <text>
        <t>Define the Frontend Development target for fixing the issue.
FE must be committed to the target.</t>
      </text>
    </comment>
    <comment ref="Z11" authorId="0" shapeId="0">
      <text>
        <t>BE Developer can write additional information regarding the issue in this column</t>
      </text>
    </comment>
    <comment ref="AA11" authorId="0" shapeId="0">
      <text>
        <t>FE Developer can write additional information regarding the issue in this column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qFQ4NAdQbhwVKl2bsQUqrQFKKrMVpQpK/view?usp=sharing" TargetMode="External" Id="rId1"/><Relationship Type="http://schemas.openxmlformats.org/officeDocument/2006/relationships/hyperlink" Target="https://drive.google.com/file/d/1W6aXz1aruBW4J2A-lbRuA9fCZxIT-2P2/view?usp=sharing" TargetMode="External" Id="rId2"/><Relationship Type="http://schemas.openxmlformats.org/officeDocument/2006/relationships/hyperlink" Target="https://drive.google.com/file/d/1jUJiamUMM-YKog1tIdwksxCagkAwHYlp/view?usp=shari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E14"/>
  <sheetViews>
    <sheetView tabSelected="1" topLeftCell="G10" zoomScale="115" zoomScaleNormal="115" workbookViewId="0">
      <selection activeCell="R13" sqref="R13"/>
    </sheetView>
  </sheetViews>
  <sheetFormatPr baseColWidth="8" defaultColWidth="12.5703125" defaultRowHeight="15.75" customHeight="1"/>
  <cols>
    <col width="17.42578125" customWidth="1" style="104" min="5" max="5"/>
    <col width="31.7109375" customWidth="1" style="104" min="6" max="6"/>
  </cols>
  <sheetData>
    <row r="1" ht="12.75" customHeight="1" s="104">
      <c r="A1" s="1" t="inlineStr">
        <is>
          <t>Notes Apps</t>
        </is>
      </c>
      <c r="B1" s="2" t="n"/>
      <c r="C1" s="2" t="n"/>
      <c r="D1" s="2" t="n"/>
      <c r="E1" s="2" t="n"/>
      <c r="F1" s="1" t="inlineStr">
        <is>
          <t>Account Credential:</t>
        </is>
      </c>
      <c r="G1" s="2" t="n"/>
      <c r="H1" s="2" t="n"/>
      <c r="I1" s="3" t="n"/>
      <c r="J1" s="2" t="n"/>
      <c r="K1" s="4" t="inlineStr">
        <is>
          <t>Testing</t>
        </is>
      </c>
      <c r="L1" s="5" t="inlineStr">
        <is>
          <t>Total</t>
        </is>
      </c>
      <c r="M1" s="6" t="inlineStr">
        <is>
          <t>%</t>
        </is>
      </c>
      <c r="N1" s="7" t="n"/>
      <c r="O1" s="8" t="inlineStr">
        <is>
          <t>Issue</t>
        </is>
      </c>
      <c r="P1" s="9">
        <f>"Total" &amp; " (" &amp; SUM(P2,P3,P4,P5,P6,P7,P9) &amp; ") "</f>
        <v/>
      </c>
      <c r="Q1" s="10">
        <f>"Need Test" &amp; " (" &amp; SUM(Q2:Q9) &amp; ") "</f>
        <v/>
      </c>
      <c r="R1" s="11" t="n"/>
      <c r="S1" s="4" t="inlineStr">
        <is>
          <t>Bug Fixing</t>
        </is>
      </c>
      <c r="T1" s="12">
        <f>SUM(T2:T9)</f>
        <v/>
      </c>
      <c r="U1" s="13" t="inlineStr">
        <is>
          <t>%</t>
        </is>
      </c>
      <c r="V1" s="5" t="inlineStr">
        <is>
          <t>BE</t>
        </is>
      </c>
      <c r="W1" s="5" t="inlineStr">
        <is>
          <t>FE</t>
        </is>
      </c>
      <c r="X1" s="11" t="n"/>
      <c r="Y1" s="14" t="inlineStr">
        <is>
          <t>Others</t>
        </is>
      </c>
      <c r="Z1" s="14" t="inlineStr">
        <is>
          <t>BE , FE</t>
        </is>
      </c>
      <c r="AA1" s="11" t="n"/>
    </row>
    <row r="2" ht="12.75" customHeight="1" s="104">
      <c r="A2" s="103" t="n"/>
      <c r="F2" s="15" t="inlineStr">
        <is>
          <t>mandatory (if any)</t>
        </is>
      </c>
      <c r="G2" s="2" t="n"/>
      <c r="H2" s="2" t="n"/>
      <c r="I2" s="3" t="n"/>
      <c r="J2" s="2" t="n"/>
      <c r="K2" s="16" t="inlineStr">
        <is>
          <t>OK</t>
        </is>
      </c>
      <c r="L2" s="17">
        <f>COUNTIF($K$13:$K981,$K2)</f>
        <v/>
      </c>
      <c r="M2" s="18">
        <f>L2/$E$10</f>
        <v/>
      </c>
      <c r="N2" s="11" t="n"/>
      <c r="O2" s="19" t="inlineStr">
        <is>
          <t>OK</t>
        </is>
      </c>
      <c r="P2" s="20">
        <f>COUNTIF($O$12:$O981,"OK*")</f>
        <v/>
      </c>
      <c r="Q2" s="21" t="inlineStr">
        <is>
          <t>-</t>
        </is>
      </c>
      <c r="R2" s="11" t="n"/>
      <c r="S2" s="22" t="inlineStr">
        <is>
          <t>Issued</t>
        </is>
      </c>
      <c r="T2" s="23">
        <f>COUNTIF($S$12:$S981, $S2)</f>
        <v/>
      </c>
      <c r="U2" s="24">
        <f>IFERROR(T2/$T$1,"-")</f>
        <v/>
      </c>
      <c r="V2" s="25">
        <f>COUNTIFS($S$12:$S981,$S2,$U$12:$U981,V$1)</f>
        <v/>
      </c>
      <c r="W2" s="25">
        <f>COUNTIFS($S$12:$S981,$S2,$U$12:$U981,W$1)</f>
        <v/>
      </c>
      <c r="X2" s="11" t="n"/>
      <c r="Y2" s="26" t="inlineStr">
        <is>
          <t>Overdue</t>
        </is>
      </c>
      <c r="Z2" s="27" t="inlineStr">
        <is>
          <t>0 , 0</t>
        </is>
      </c>
      <c r="AA2" s="11" t="n"/>
    </row>
    <row r="3" ht="12.75" customHeight="1" s="104">
      <c r="A3" s="1" t="inlineStr">
        <is>
          <t>👤 Users</t>
        </is>
      </c>
      <c r="B3" s="28" t="inlineStr">
        <is>
          <t>Publik &amp; Pembeli</t>
        </is>
      </c>
      <c r="C3" s="2" t="n"/>
      <c r="D3" s="2" t="n"/>
      <c r="E3" s="29" t="inlineStr">
        <is>
          <t>⚠️  Legend</t>
        </is>
      </c>
      <c r="F3" s="2" t="n"/>
      <c r="G3" s="2" t="n"/>
      <c r="H3" s="2" t="n"/>
      <c r="I3" s="3" t="n"/>
      <c r="J3" s="2" t="n"/>
      <c r="K3" s="30" t="inlineStr">
        <is>
          <t>MINOR</t>
        </is>
      </c>
      <c r="L3" s="25">
        <f>COUNTIF($K$12:$K981,$K3)</f>
        <v/>
      </c>
      <c r="M3" s="31">
        <f>L3/$E$10</f>
        <v/>
      </c>
      <c r="N3" s="11" t="n"/>
      <c r="O3" s="32" t="inlineStr">
        <is>
          <t>MINOR</t>
        </is>
      </c>
      <c r="P3" s="33">
        <f>COUNTIF($O$12:$O981,O3)</f>
        <v/>
      </c>
      <c r="Q3" s="34">
        <f>COUNTIFS($O$12:$O981,$O3,$S$12:$S981,$S$8)</f>
        <v/>
      </c>
      <c r="R3" s="11" t="n"/>
      <c r="S3" s="30" t="inlineStr">
        <is>
          <t>On Progress</t>
        </is>
      </c>
      <c r="T3" s="23">
        <f>COUNTIF($S$12:$S982, $S3)</f>
        <v/>
      </c>
      <c r="U3" s="24">
        <f>IFERROR(T3/$T$1,"-")</f>
        <v/>
      </c>
      <c r="V3" s="25">
        <f>COUNTIFS($S$12:$S981,$S3,$U$12:$U981,V$1)</f>
        <v/>
      </c>
      <c r="W3" s="25">
        <f>COUNTIFS($S$12:$S981,$S3,$U$12:$U981,W$1)</f>
        <v/>
      </c>
      <c r="X3" s="11" t="n"/>
      <c r="Y3" s="35" t="inlineStr">
        <is>
          <t>Due Today</t>
        </is>
      </c>
      <c r="Z3" s="27" t="inlineStr">
        <is>
          <t>0 , 0</t>
        </is>
      </c>
      <c r="AA3" s="11" t="n"/>
    </row>
    <row r="4" ht="25.5" customHeight="1" s="104">
      <c r="A4" s="1" t="inlineStr">
        <is>
          <t>🔗 Design</t>
        </is>
      </c>
      <c r="B4" s="28" t="inlineStr">
        <is>
          <t>: put the link</t>
        </is>
      </c>
      <c r="C4" s="2" t="n"/>
      <c r="D4" s="2" t="n"/>
      <c r="E4" s="36" t="inlineStr">
        <is>
          <t>Example</t>
        </is>
      </c>
      <c r="F4" s="2" t="n"/>
      <c r="G4" s="2" t="n"/>
      <c r="H4" s="2" t="n"/>
      <c r="I4" s="3" t="n"/>
      <c r="J4" s="2" t="n"/>
      <c r="K4" s="22" t="inlineStr">
        <is>
          <t>NOT OK</t>
        </is>
      </c>
      <c r="L4" s="25">
        <f>COUNTIF($K$12:$K982,$K4)</f>
        <v/>
      </c>
      <c r="M4" s="31">
        <f>L4/$E$10</f>
        <v/>
      </c>
      <c r="N4" s="11" t="n"/>
      <c r="O4" s="37" t="inlineStr">
        <is>
          <t>MAJOR</t>
        </is>
      </c>
      <c r="P4" s="33">
        <f>COUNTIF($O$12:$O982,O4)</f>
        <v/>
      </c>
      <c r="Q4" s="34">
        <f>COUNTIFS($O$12:$O982,$O4,$S$12:$S982,$S$8)</f>
        <v/>
      </c>
      <c r="R4" s="11" t="n"/>
      <c r="S4" s="38" t="inlineStr">
        <is>
          <t>Local Done</t>
        </is>
      </c>
      <c r="T4" s="23">
        <f>COUNTIF($S$12:$S983, $S4)</f>
        <v/>
      </c>
      <c r="U4" s="24">
        <f>IFERROR(T4/$T$1,"-")</f>
        <v/>
      </c>
      <c r="V4" s="25">
        <f>COUNTIFS($S$12:$S981,$S4,$U$12:$U981,V$1)</f>
        <v/>
      </c>
      <c r="W4" s="25">
        <f>COUNTIFS($S$12:$S981,$S4,$U$12:$U981,W$1)</f>
        <v/>
      </c>
      <c r="X4" s="11" t="n"/>
      <c r="Y4" s="39" t="inlineStr">
        <is>
          <t>Unassigned PIC</t>
        </is>
      </c>
      <c r="Z4" s="39">
        <f>COUNTIFS($S$12:$S981,"*",$U$12:$U981,"BE", $V$12:$V981,"") &amp; " , " &amp; COUNTIFS($S$12:$S981,"*",$U$12:$U981,"FE", $W$12:$W981,"")</f>
        <v/>
      </c>
      <c r="AA4" s="11" t="n"/>
    </row>
    <row r="5" ht="12.75" customHeight="1" s="104">
      <c r="A5" s="1" t="inlineStr">
        <is>
          <t>🔗 FE</t>
        </is>
      </c>
      <c r="B5" s="28" t="inlineStr">
        <is>
          <t>: put the link</t>
        </is>
      </c>
      <c r="C5" s="2" t="n"/>
      <c r="D5" s="1" t="inlineStr">
        <is>
          <t>-</t>
        </is>
      </c>
      <c r="E5" s="40" t="inlineStr">
        <is>
          <t>Priority</t>
        </is>
      </c>
      <c r="F5" s="2" t="n"/>
      <c r="G5" s="2" t="n"/>
      <c r="H5" s="2" t="n"/>
      <c r="I5" s="3" t="n"/>
      <c r="J5" s="2" t="n"/>
      <c r="K5" s="41" t="inlineStr">
        <is>
          <t>HOLD</t>
        </is>
      </c>
      <c r="L5" s="25">
        <f>COUNTIF($K$12:$K983,$K5)</f>
        <v/>
      </c>
      <c r="M5" s="31">
        <f>L5/$E$10</f>
        <v/>
      </c>
      <c r="N5" s="11" t="n"/>
      <c r="O5" s="42" t="inlineStr">
        <is>
          <t>CRITICAL</t>
        </is>
      </c>
      <c r="P5" s="33">
        <f>COUNTIF($O$12:$O983,O5)</f>
        <v/>
      </c>
      <c r="Q5" s="34">
        <f>COUNTIFS($O$12:$O983,$O5,$S$12:$S983,$S$8)</f>
        <v/>
      </c>
      <c r="R5" s="11" t="n"/>
      <c r="S5" s="43" t="inlineStr">
        <is>
          <t>On Review</t>
        </is>
      </c>
      <c r="T5" s="23">
        <f>COUNTIF($S$12:$S984, $S5)</f>
        <v/>
      </c>
      <c r="U5" s="24">
        <f>IFERROR(T5/$T$1,"-")</f>
        <v/>
      </c>
      <c r="V5" s="25">
        <f>COUNTIFS($S$12:$S981,$S5,$U$12:$U981,V$1)</f>
        <v/>
      </c>
      <c r="W5" s="25">
        <f>COUNTIFS($S$12:$S981,$S5,$U$12:$U981,W$1)</f>
        <v/>
      </c>
      <c r="X5" s="11" t="n"/>
      <c r="Y5" s="44" t="inlineStr">
        <is>
          <t>Last Target BE</t>
        </is>
      </c>
      <c r="Z5" s="45">
        <f>IF(MAX(X12:X981) &gt; 0, MAX(X12:X981), "No Target")</f>
        <v/>
      </c>
      <c r="AA5" s="46" t="n"/>
    </row>
    <row r="6" ht="25.5" customHeight="1" s="104">
      <c r="A6" s="1" t="inlineStr">
        <is>
          <t>🔗 Staging</t>
        </is>
      </c>
      <c r="B6" s="28" t="inlineStr">
        <is>
          <t>: put the link</t>
        </is>
      </c>
      <c r="C6" s="2" t="n"/>
      <c r="D6" s="2" t="n"/>
      <c r="E6" s="47" t="inlineStr">
        <is>
          <t>Need for Clarification</t>
        </is>
      </c>
      <c r="F6" s="2" t="n"/>
      <c r="G6" s="2" t="n"/>
      <c r="H6" s="2" t="n"/>
      <c r="I6" s="3" t="n"/>
      <c r="J6" s="2" t="n"/>
      <c r="K6" s="48" t="inlineStr">
        <is>
          <t>READY FOR TEST</t>
        </is>
      </c>
      <c r="L6" s="25">
        <f>COUNTIF($K$12:$K984,$K6)</f>
        <v/>
      </c>
      <c r="M6" s="31">
        <f>L6/$E$10</f>
        <v/>
      </c>
      <c r="N6" s="11" t="n"/>
      <c r="O6" s="49" t="inlineStr">
        <is>
          <t>HOLD</t>
        </is>
      </c>
      <c r="P6" s="33">
        <f>COUNTIF($O$12:$O984,O6)</f>
        <v/>
      </c>
      <c r="Q6" s="34">
        <f>COUNTIFS($O$12:$O984,$O6,$S$12:$S984,$S$8)</f>
        <v/>
      </c>
      <c r="R6" s="11" t="n"/>
      <c r="S6" s="50" t="inlineStr">
        <is>
          <t>BE Done Next FE</t>
        </is>
      </c>
      <c r="T6" s="23">
        <f>COUNTIF($S$12:$S985, $S6)</f>
        <v/>
      </c>
      <c r="U6" s="24">
        <f>IFERROR(T6/$T$1,"-")</f>
        <v/>
      </c>
      <c r="V6" s="25">
        <f>COUNTIFS($S$12:$S981,$S6,$U$12:$U981,V$1)</f>
        <v/>
      </c>
      <c r="W6" s="25">
        <f>COUNTIFS($S$12:$S981,$S6,$U$12:$U981,W$1)</f>
        <v/>
      </c>
      <c r="X6" s="11" t="n"/>
      <c r="Y6" s="51" t="inlineStr">
        <is>
          <t>Last Target FE</t>
        </is>
      </c>
      <c r="Z6" s="45">
        <f>IF(MAX(Y12:Y981) &gt; 0, MAX(Y12:Y981), "No Target")</f>
        <v/>
      </c>
      <c r="AA6" s="11" t="n"/>
    </row>
    <row r="7" ht="25.5" customHeight="1" s="104">
      <c r="C7" s="2" t="n"/>
      <c r="D7" s="2" t="n"/>
      <c r="E7" s="52" t="inlineStr">
        <is>
          <t>Just Added</t>
        </is>
      </c>
      <c r="F7" s="2" t="n"/>
      <c r="G7" s="2" t="n"/>
      <c r="H7" s="2" t="n"/>
      <c r="I7" s="3" t="n"/>
      <c r="J7" s="2" t="n"/>
      <c r="K7" s="53" t="inlineStr">
        <is>
          <t>NOT RUN</t>
        </is>
      </c>
      <c r="L7" s="25">
        <f>COUNTIFS($K$12:$K981,"",E12:E981,"*")</f>
        <v/>
      </c>
      <c r="M7" s="31">
        <f>L7/$E$10</f>
        <v/>
      </c>
      <c r="N7" s="11" t="n"/>
      <c r="O7" s="54" t="inlineStr">
        <is>
          <t>Not Issue</t>
        </is>
      </c>
      <c r="P7" s="20">
        <f>COUNTIF($O$12:$O985,O7)</f>
        <v/>
      </c>
      <c r="Q7" s="34" t="inlineStr">
        <is>
          <t>-</t>
        </is>
      </c>
      <c r="R7" s="2" t="n"/>
      <c r="S7" s="55" t="inlineStr">
        <is>
          <t>FE Done Next BE</t>
        </is>
      </c>
      <c r="T7" s="23">
        <f>COUNTIF($S$12:$S986, $S7)</f>
        <v/>
      </c>
      <c r="U7" s="24">
        <f>IFERROR(T7/$T$1,"-")</f>
        <v/>
      </c>
      <c r="V7" s="25">
        <f>COUNTIFS($S$12:$S981,$S7,$U$12:$U981,V$1)</f>
        <v/>
      </c>
      <c r="W7" s="25">
        <f>COUNTIFS($S$12:$S981,$S7,$U$12:$U981,W$1)</f>
        <v/>
      </c>
      <c r="X7" s="11" t="n"/>
      <c r="Y7" s="1" t="inlineStr">
        <is>
          <t>Today</t>
        </is>
      </c>
      <c r="Z7" s="56">
        <f>TODAY()</f>
        <v/>
      </c>
      <c r="AA7" s="11" t="n"/>
    </row>
    <row r="8" ht="12.75" customHeight="1" s="104">
      <c r="A8" s="2" t="n"/>
      <c r="B8" s="2" t="n"/>
      <c r="C8" s="2" t="n"/>
      <c r="D8" s="2" t="n"/>
      <c r="E8" s="57" t="inlineStr">
        <is>
          <t>Takeout</t>
        </is>
      </c>
      <c r="F8" s="2" t="n"/>
      <c r="G8" s="2" t="n"/>
      <c r="H8" s="2" t="n"/>
      <c r="I8" s="3" t="n"/>
      <c r="J8" s="2" t="n"/>
      <c r="K8" s="58" t="inlineStr">
        <is>
          <t>Total Run</t>
        </is>
      </c>
      <c r="L8" s="59">
        <f>SUM(L2:L5)</f>
        <v/>
      </c>
      <c r="M8" s="60">
        <f>L8/$E$10</f>
        <v/>
      </c>
      <c r="N8" s="11" t="n"/>
      <c r="O8" s="61" t="inlineStr">
        <is>
          <t>OK-moved</t>
        </is>
      </c>
      <c r="P8" s="33">
        <f>COUNTIF($O$12:$O986,O8)</f>
        <v/>
      </c>
      <c r="Q8" s="34" t="inlineStr">
        <is>
          <t>-</t>
        </is>
      </c>
      <c r="R8" s="2" t="n"/>
      <c r="S8" s="62" t="inlineStr">
        <is>
          <t>Done</t>
        </is>
      </c>
      <c r="T8" s="63">
        <f>COUNTIF($S$12:$S987, $S8)</f>
        <v/>
      </c>
      <c r="U8" s="64">
        <f>IFERROR(T8/$T$1,"-")</f>
        <v/>
      </c>
      <c r="V8" s="25">
        <f>COUNTIFS($S$12:$S981,$S8,$U$12:$U981,V$1)</f>
        <v/>
      </c>
      <c r="W8" s="25">
        <f>COUNTIFS($S$12:$S981,$S8,$U$12:$U981,W$1)</f>
        <v/>
      </c>
      <c r="X8" s="11" t="n"/>
      <c r="Y8" s="11" t="n"/>
      <c r="Z8" s="11" t="n"/>
      <c r="AA8" s="11" t="n"/>
    </row>
    <row r="9" ht="12.75" customHeight="1" s="104">
      <c r="A9" s="2" t="n"/>
      <c r="B9" s="2" t="n"/>
      <c r="C9" s="2" t="n"/>
      <c r="D9" s="2" t="n"/>
      <c r="E9" s="11" t="n"/>
      <c r="F9" s="2" t="n"/>
      <c r="G9" s="2" t="n"/>
      <c r="H9" s="2" t="n"/>
      <c r="I9" s="3" t="n"/>
      <c r="J9" s="2" t="n"/>
      <c r="K9" s="11" t="n"/>
      <c r="L9" s="11" t="n"/>
      <c r="M9" s="11" t="n"/>
      <c r="N9" s="11" t="n"/>
      <c r="O9" s="65" t="inlineStr">
        <is>
          <t>Unassigned</t>
        </is>
      </c>
      <c r="P9" s="20">
        <f>COUNTIFS($O$12:$O981, "",$R$12:$R981,"*")</f>
        <v/>
      </c>
      <c r="Q9" s="66">
        <f>COUNTIFS($O$12:$O981,"",$S$12:$S981,$S$8)</f>
        <v/>
      </c>
      <c r="R9" s="2" t="n"/>
      <c r="S9" s="41" t="inlineStr">
        <is>
          <t>Hold</t>
        </is>
      </c>
      <c r="T9" s="23">
        <f>COUNTIF($S$12:$S988, $S9)</f>
        <v/>
      </c>
      <c r="U9" s="24">
        <f>IFERROR(T9/$T$1,"-")</f>
        <v/>
      </c>
      <c r="V9" s="25">
        <f>COUNTIFS($S$12:$S981,$S9,$U$12:$U981,V$1)</f>
        <v/>
      </c>
      <c r="W9" s="25">
        <f>COUNTIFS($S$12:$S981,$S9,$U$12:$U981,W$1)</f>
        <v/>
      </c>
      <c r="X9" s="2" t="n"/>
      <c r="Y9" s="11" t="n"/>
      <c r="Z9" s="11" t="n"/>
      <c r="AA9" s="11" t="n"/>
    </row>
    <row r="10" ht="25.5" customHeight="1" s="104">
      <c r="A10" s="2" t="n"/>
      <c r="B10" s="2" t="n"/>
      <c r="C10" s="2" t="n"/>
      <c r="D10" s="67" t="inlineStr">
        <is>
          <t>Scenario Total</t>
        </is>
      </c>
      <c r="E10" s="68">
        <f>COUNTA($E$13:$E981)</f>
        <v/>
      </c>
      <c r="F10" s="2" t="n"/>
      <c r="G10" s="2" t="n"/>
      <c r="H10" s="2" t="n"/>
      <c r="I10" s="3" t="n"/>
      <c r="J10" s="2" t="n"/>
      <c r="K10" s="105" t="inlineStr">
        <is>
          <t>Testing Update</t>
        </is>
      </c>
      <c r="L10" s="106" t="n"/>
      <c r="M10" s="106" t="n"/>
      <c r="N10" s="106" t="n"/>
      <c r="O10" s="107" t="inlineStr">
        <is>
          <t>Issue Update</t>
        </is>
      </c>
      <c r="P10" s="106" t="n"/>
      <c r="Q10" s="106" t="n"/>
      <c r="R10" s="108" t="n"/>
      <c r="S10" s="109" t="inlineStr">
        <is>
          <t>Developer Update</t>
        </is>
      </c>
      <c r="T10" s="106" t="n"/>
      <c r="U10" s="106" t="n"/>
      <c r="V10" s="106" t="n"/>
      <c r="W10" s="106" t="n"/>
      <c r="X10" s="106" t="n"/>
      <c r="Y10" s="106" t="n"/>
      <c r="Z10" s="106" t="n"/>
      <c r="AA10" s="110" t="n"/>
    </row>
    <row r="11" ht="25.5" customHeight="1" s="104">
      <c r="A11" s="69" t="inlineStr">
        <is>
          <t>TCS ID</t>
        </is>
      </c>
      <c r="B11" s="69" t="inlineStr">
        <is>
          <t>Menu</t>
        </is>
      </c>
      <c r="C11" s="69" t="inlineStr">
        <is>
          <t>Submenu 1</t>
        </is>
      </c>
      <c r="D11" s="69" t="inlineStr">
        <is>
          <t>Submenu 2</t>
        </is>
      </c>
      <c r="E11" s="69" t="inlineStr">
        <is>
          <t>Test Case Scenario</t>
        </is>
      </c>
      <c r="F11" s="69" t="inlineStr">
        <is>
          <t>Test Step</t>
        </is>
      </c>
      <c r="G11" s="69" t="inlineStr">
        <is>
          <t>Expected Result</t>
        </is>
      </c>
      <c r="H11" s="70" t="inlineStr">
        <is>
          <t>Test Type</t>
        </is>
      </c>
      <c r="I11" s="71" t="inlineStr">
        <is>
          <t>User</t>
        </is>
      </c>
      <c r="J11" s="72" t="inlineStr">
        <is>
          <t>Time Testing</t>
        </is>
      </c>
      <c r="K11" s="73" t="inlineStr">
        <is>
          <t>Testing Status</t>
        </is>
      </c>
      <c r="L11" s="74" t="inlineStr">
        <is>
          <t>Updated At</t>
        </is>
      </c>
      <c r="M11" s="74" t="inlineStr">
        <is>
          <t>Testing By</t>
        </is>
      </c>
      <c r="N11" s="75" t="inlineStr">
        <is>
          <t>OK Evid.</t>
        </is>
      </c>
      <c r="O11" s="76" t="inlineStr">
        <is>
          <t>Issue Status</t>
        </is>
      </c>
      <c r="P11" s="77" t="inlineStr">
        <is>
          <t>Updated At</t>
        </is>
      </c>
      <c r="Q11" s="77" t="inlineStr">
        <is>
          <t>Scope</t>
        </is>
      </c>
      <c r="R11" s="77" t="inlineStr">
        <is>
          <t>Issue</t>
        </is>
      </c>
      <c r="S11" s="78" t="inlineStr">
        <is>
          <t>Developer Status</t>
        </is>
      </c>
      <c r="T11" s="79" t="inlineStr">
        <is>
          <t>Updated At</t>
        </is>
      </c>
      <c r="U11" s="79" t="inlineStr">
        <is>
          <t>PIC Now</t>
        </is>
      </c>
      <c r="V11" s="79" t="inlineStr">
        <is>
          <t>BE PIC</t>
        </is>
      </c>
      <c r="W11" s="79" t="inlineStr">
        <is>
          <t>FE PIC</t>
        </is>
      </c>
      <c r="X11" s="79" t="inlineStr">
        <is>
          <t>BE Target</t>
        </is>
      </c>
      <c r="Y11" s="79" t="inlineStr">
        <is>
          <t>FE Target</t>
        </is>
      </c>
      <c r="Z11" s="80" t="inlineStr">
        <is>
          <t>BE Notes</t>
        </is>
      </c>
      <c r="AA11" s="80" t="inlineStr">
        <is>
          <t>FE Notes</t>
        </is>
      </c>
      <c r="AB11" t="inlineStr">
        <is>
          <t>Actual Result</t>
        </is>
      </c>
      <c r="AC11" t="inlineStr">
        <is>
          <t>Steps Taken</t>
        </is>
      </c>
      <c r="AD11" t="inlineStr">
        <is>
          <t>Tokens Used</t>
        </is>
      </c>
      <c r="AE11" t="inlineStr">
        <is>
          <t>Stagnation Count</t>
        </is>
      </c>
    </row>
    <row r="12" ht="12.75" customHeight="1" s="104">
      <c r="A12" s="81" t="n">
        <v>1</v>
      </c>
      <c r="B12" s="82" t="inlineStr">
        <is>
          <t>Login</t>
        </is>
      </c>
      <c r="C12" s="83" t="n"/>
      <c r="D12" s="83" t="n"/>
      <c r="E12" s="83" t="n"/>
      <c r="F12" s="84">
        <f>IFERROR(__xludf.DUMMYFUNCTION("PERCENTIF($K13:$K14,$K$2)"),0)</f>
        <v/>
      </c>
      <c r="G12" s="83" t="n"/>
      <c r="H12" s="83" t="n"/>
      <c r="I12" s="85" t="n"/>
      <c r="J12" s="83">
        <f>IF(A12&lt;&gt;"", RANDBETWEEN(2, 15) &amp; " mins", "")</f>
        <v/>
      </c>
      <c r="K12" s="86" t="n"/>
      <c r="L12" s="87" t="n"/>
      <c r="M12" s="83" t="n"/>
      <c r="N12" s="83" t="n"/>
      <c r="O12" s="88" t="n"/>
      <c r="P12" s="89" t="n"/>
      <c r="Q12" s="83" t="n"/>
      <c r="R12" s="83" t="n"/>
      <c r="S12" s="86" t="n"/>
      <c r="T12" s="89" t="n"/>
      <c r="U12" s="83" t="n"/>
      <c r="V12" s="83" t="n"/>
      <c r="W12" s="83" t="n"/>
      <c r="X12" s="87" t="n"/>
      <c r="Y12" s="87" t="n"/>
      <c r="Z12" s="83" t="n"/>
      <c r="AA12" s="83" t="n"/>
    </row>
    <row r="13" ht="216.75" customHeight="1" s="104">
      <c r="A13" s="81" t="inlineStr">
        <is>
          <t>NOTE-001</t>
        </is>
      </c>
      <c r="B13" s="90" t="inlineStr">
        <is>
          <t>Xiaomi Notes</t>
        </is>
      </c>
      <c r="C13" s="90" t="inlineStr">
        <is>
          <t>-</t>
        </is>
      </c>
      <c r="D13" s="90" t="inlineStr">
        <is>
          <t>-</t>
        </is>
      </c>
      <c r="E13" s="90" t="inlineStr">
        <is>
          <t xml:space="preserve">Membuat catatan baru </t>
        </is>
      </c>
      <c r="F13" s="91" t="inlineStr">
        <is>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is>
      </c>
      <c r="G13" s="91" t="inlineStr">
        <is>
          <t>Catatan tersimpan dan terlihat di daftar utama dengan judul "Rencana Skripsi 2026".</t>
        </is>
      </c>
      <c r="H13" s="92" t="inlineStr">
        <is>
          <t>Pos.</t>
        </is>
      </c>
      <c r="I13" s="93" t="inlineStr">
        <is>
          <t>User</t>
        </is>
      </c>
      <c r="J13" s="92" t="inlineStr">
        <is>
          <t>0m 56s</t>
        </is>
      </c>
      <c r="K13" s="94" t="inlineStr">
        <is>
          <t>OK</t>
        </is>
      </c>
      <c r="L13" s="95" t="inlineStr">
        <is>
          <t>2026-06-11 13:55:02</t>
        </is>
      </c>
      <c r="M13" s="96" t="inlineStr">
        <is>
          <t>MAS AI (predefined)</t>
        </is>
      </c>
      <c r="N13" s="97" t="inlineStr">
        <is>
          <t>outputs\runs\predefined\2026-06-11\run_1\scenario_01</t>
        </is>
      </c>
      <c r="O13" s="98" t="inlineStr">
        <is>
          <t>OK</t>
        </is>
      </c>
      <c r="P13" s="99" t="n"/>
      <c r="Q13" s="100" t="n"/>
      <c r="R13" s="100" t="n"/>
      <c r="S13" s="101" t="n"/>
      <c r="T13" s="99" t="n"/>
      <c r="U13" s="100" t="n"/>
      <c r="V13" s="92" t="n"/>
      <c r="W13" s="100" t="n"/>
      <c r="X13" s="102" t="n"/>
      <c r="Y13" s="102" t="n"/>
      <c r="Z13" s="100" t="n"/>
      <c r="AA13" s="100" t="n"/>
      <c r="AB13" t="inlineStr">
        <is>
          <t>The application successfully returned to the main screen after clicking the back button. The note 'Rencana Skripsi 2026' is now clearly visible as the top item in the list, matching the expected result defined in the task goal. The layout is consistent with the app's list interface, and the content is accurately saved.</t>
        </is>
      </c>
      <c r="AC13" t="n">
        <v>6</v>
      </c>
      <c r="AD13" t="n">
        <v>59102</v>
      </c>
      <c r="AE13" t="n">
        <v>0</v>
      </c>
    </row>
    <row r="14" ht="167.25" customHeight="1" s="104">
      <c r="A14" s="111" t="inlineStr">
        <is>
          <t>NOTE-002</t>
        </is>
      </c>
      <c r="B14" s="112" t="inlineStr">
        <is>
          <t>Xiaomi Notes</t>
        </is>
      </c>
      <c r="C14" s="112" t="inlineStr">
        <is>
          <t>-</t>
        </is>
      </c>
      <c r="D14" s="112" t="inlineStr">
        <is>
          <t>-</t>
        </is>
      </c>
      <c r="E14" s="113" t="inlineStr">
        <is>
          <t>Membuat Tugas Baru</t>
        </is>
      </c>
      <c r="F14" s="115" t="inlineStr">
        <is>
          <t>1. Pengguna klik tombol "tugas" pada menu navigasi bawah
2. Pengguna klik tombol "+" (tambah) untuk membuat tugas baru
3. Pengguna Memasukkan konten "Kerjain Skripsinya"
4. Pengguna klik teks "selesai" dan melihat di tampilan apakah sudah tersimpan</t>
        </is>
      </c>
      <c r="G14" s="91" t="inlineStr">
        <is>
          <t>Tugas tersimpan dan terlihat di daftar utama dengan konten "Kerjain Skripsinya".</t>
        </is>
      </c>
      <c r="H14" s="92" t="inlineStr">
        <is>
          <t>Pos.</t>
        </is>
      </c>
      <c r="I14" s="93" t="inlineStr">
        <is>
          <t>User</t>
        </is>
      </c>
      <c r="J14" s="116" t="inlineStr">
        <is>
          <t>2m 22s</t>
        </is>
      </c>
      <c r="K14" s="114" t="n"/>
      <c r="L14" s="114" t="n"/>
      <c r="M14" s="114" t="n"/>
      <c r="N14" s="117" t="n"/>
      <c r="O14" s="114" t="n"/>
      <c r="P14" s="114" t="n"/>
      <c r="Q14" s="114" t="n"/>
      <c r="R14" s="117" t="n"/>
    </row>
  </sheetData>
  <mergeCells count="4">
    <mergeCell ref="A2:E2"/>
    <mergeCell ref="K10:N10"/>
    <mergeCell ref="O10:R10"/>
    <mergeCell ref="S10:AA10"/>
  </mergeCells>
  <hyperlinks>
    <hyperlink xmlns:r="http://schemas.openxmlformats.org/officeDocument/2006/relationships" ref="K1" r:id="rId1"/>
    <hyperlink xmlns:r="http://schemas.openxmlformats.org/officeDocument/2006/relationships" ref="O1" r:id="rId2"/>
    <hyperlink xmlns:r="http://schemas.openxmlformats.org/officeDocument/2006/relationships" ref="S1" r:id="rId3"/>
    <hyperlink ref="K10" location="null!B5:Q5" display="Testing Update"/>
    <hyperlink ref="O10" location="null!B25:O25" display="Issue Update"/>
    <hyperlink ref="S10" location="null!B36:S36" display="Developer Update"/>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raditya aryabudhi ramadhan</dc:creator>
  <dcterms:created xmlns:dcterms="http://purl.org/dc/terms/" xmlns:xsi="http://www.w3.org/2001/XMLSchema-instance" xsi:type="dcterms:W3CDTF">2026-04-22T04:39:38Z</dcterms:created>
  <dcterms:modified xmlns:dcterms="http://purl.org/dc/terms/" xmlns:xsi="http://www.w3.org/2001/XMLSchema-instance" xsi:type="dcterms:W3CDTF">2026-06-11T06:55:02Z</dcterms:modified>
  <cp:lastModifiedBy>raditya aryabudhi ramadhan</cp:lastModifiedBy>
</cp:coreProperties>
</file>