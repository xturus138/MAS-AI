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ddd&quot;, &quot;dd&quot; &quot;mmm"/>
    <numFmt numFmtId="165" formatCode="ddd&quot;, &quot;dd&quot; &quot;mmm&quot; / &quot;hh&quot;:&quot;mm"/>
  </numFmts>
  <fonts count="19">
    <font>
      <name val="Arial"/>
      <color rgb="FF000000"/>
      <sz val="10"/>
      <scheme val="minor"/>
    </font>
    <font>
      <name val="Proxima Nova"/>
      <b val="1"/>
      <color theme="1"/>
      <sz val="10"/>
    </font>
    <font>
      <name val="Arial"/>
      <color theme="1"/>
      <sz val="10"/>
    </font>
    <font>
      <name val="Proxima Nova"/>
      <b val="1"/>
      <color rgb="FF1155CC"/>
      <sz val="10"/>
      <u val="single"/>
    </font>
    <font>
      <name val="Proxima Nova"/>
      <b val="1"/>
      <color rgb="FF1155CC"/>
      <sz val="10"/>
      <u val="single"/>
    </font>
    <font>
      <name val="Proxima Nova"/>
      <b val="1"/>
      <color rgb="FFFF0000"/>
      <sz val="10"/>
      <u val="single"/>
    </font>
    <font>
      <name val="Proxima Nova"/>
      <b val="1"/>
      <i val="1"/>
      <color rgb="FF0000FF"/>
      <sz val="10"/>
    </font>
    <font>
      <name val="Proxima Nova"/>
      <color theme="1"/>
      <sz val="10"/>
    </font>
    <font>
      <name val="Proxima Nova"/>
      <b val="1"/>
      <color rgb="FF980000"/>
      <sz val="10"/>
    </font>
    <font>
      <name val="Proxima Nova"/>
      <b val="1"/>
      <color rgb="FF274E13"/>
      <sz val="10"/>
    </font>
    <font>
      <name val="Proxima Nova"/>
      <b val="1"/>
      <color rgb="FFFFFFFF"/>
      <sz val="10"/>
    </font>
    <font>
      <name val="Proxima Nova"/>
      <b val="1"/>
      <color rgb="FF4285F4"/>
      <sz val="10"/>
    </font>
    <font>
      <name val="Proxima Nova"/>
      <b val="1"/>
      <color rgb="FFEA4335"/>
      <sz val="10"/>
    </font>
    <font>
      <name val="Proxima Nova"/>
      <b val="1"/>
      <color rgb="FF1155CC"/>
      <sz val="10"/>
      <u val="single"/>
    </font>
    <font>
      <name val="Proxima Nova"/>
      <b val="1"/>
      <color rgb="FF1155CC"/>
      <sz val="10"/>
      <u val="single"/>
    </font>
    <font>
      <name val="Proxima Nova"/>
      <b val="1"/>
      <color rgb="FF1155CC"/>
      <sz val="10"/>
      <u val="single"/>
    </font>
    <font>
      <name val="Proxima Nova"/>
      <color rgb="FF1155CC"/>
      <sz val="10"/>
      <u val="single"/>
    </font>
    <font>
      <name val="Arial"/>
      <family val="2"/>
      <b val="1"/>
      <color rgb="FF000000"/>
      <sz val="10"/>
      <scheme val="minor"/>
    </font>
    <font>
      <name val="Arial"/>
      <family val="2"/>
      <color rgb="FF000000"/>
      <sz val="10"/>
      <scheme val="minor"/>
    </font>
  </fonts>
  <fills count="22">
    <fill>
      <patternFill/>
    </fill>
    <fill>
      <patternFill patternType="gray125"/>
    </fill>
    <fill>
      <patternFill patternType="solid">
        <fgColor rgb="FFFF9900"/>
        <bgColor rgb="FFFF9900"/>
      </patternFill>
    </fill>
    <fill>
      <patternFill patternType="solid">
        <fgColor rgb="FF999999"/>
        <bgColor rgb="FF999999"/>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F9CB9C"/>
        <bgColor rgb="FFF9CB9C"/>
      </patternFill>
    </fill>
    <fill>
      <patternFill patternType="solid">
        <fgColor rgb="FF00FF00"/>
        <bgColor rgb="FF00FF00"/>
      </patternFill>
    </fill>
    <fill>
      <patternFill patternType="solid">
        <fgColor rgb="FFA2C4C9"/>
        <bgColor rgb="FFA2C4C9"/>
      </patternFill>
    </fill>
    <fill>
      <patternFill patternType="solid">
        <fgColor rgb="FF980000"/>
        <bgColor rgb="FF980000"/>
      </patternFill>
    </fill>
    <fill>
      <patternFill patternType="solid">
        <fgColor rgb="FFB4A7D6"/>
        <bgColor rgb="FFB4A7D6"/>
      </patternFill>
    </fill>
    <fill>
      <patternFill patternType="solid">
        <fgColor rgb="FFFFFFFF"/>
        <bgColor rgb="FFFFFFFF"/>
      </patternFill>
    </fill>
    <fill>
      <patternFill patternType="solid">
        <fgColor rgb="FFCFE2F3"/>
        <bgColor rgb="FFCFE2F3"/>
      </patternFill>
    </fill>
    <fill>
      <patternFill patternType="solid">
        <fgColor rgb="FFFF0000"/>
        <bgColor rgb="FFFF0000"/>
      </patternFill>
    </fill>
    <fill>
      <patternFill patternType="solid">
        <fgColor rgb="FFCCCCCC"/>
        <bgColor rgb="FFCCCCCC"/>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s>
  <borders count="19">
    <border>
      <left/>
      <right/>
      <top/>
      <bottom/>
      <diagonal/>
    </border>
    <border>
      <left/>
      <right style="medium">
        <color rgb="FF000000"/>
      </right>
      <top/>
      <bottom/>
      <diagonal/>
    </border>
    <border>
      <left style="medium">
        <color rgb="FF000000"/>
      </left>
      <right/>
      <top/>
      <bottom/>
      <diagonal/>
    </border>
    <border>
      <left style="double">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double">
        <color rgb="FF000000"/>
      </left>
      <right style="medium">
        <color rgb="FF000000"/>
      </right>
      <top style="thin">
        <color rgb="FF000000"/>
      </top>
      <bottom style="thin">
        <color rgb="FF000000"/>
      </bottom>
      <diagonal/>
    </border>
    <border>
      <left style="medium">
        <color rgb="FF000000"/>
      </left>
      <right style="thin">
        <color indexed="64"/>
      </right>
      <top/>
      <bottom/>
      <diagonal/>
    </border>
    <border>
      <left/>
      <right style="thin">
        <color indexed="64"/>
      </right>
      <top/>
      <bottom/>
      <diagonal/>
    </border>
    <border>
      <left/>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11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1" applyAlignment="1" pivotButton="0" quotePrefix="0" xfId="0">
      <alignment vertical="top"/>
    </xf>
    <xf numFmtId="0" fontId="3" fillId="2" borderId="2" applyAlignment="1" pivotButton="0" quotePrefix="0" xfId="0">
      <alignment vertical="top"/>
    </xf>
    <xf numFmtId="3" fontId="1" fillId="2" borderId="0" applyAlignment="1" pivotButton="0" quotePrefix="0" xfId="0">
      <alignment horizontal="center"/>
    </xf>
    <xf numFmtId="3" fontId="1" fillId="2" borderId="0" applyAlignment="1" pivotButton="0" quotePrefix="0" xfId="0">
      <alignment horizontal="right"/>
    </xf>
    <xf numFmtId="10" fontId="2" fillId="0" borderId="0" applyAlignment="1" pivotButton="0" quotePrefix="0" xfId="0">
      <alignment vertical="top"/>
    </xf>
    <xf numFmtId="0" fontId="4" fillId="2" borderId="3" applyAlignment="1" pivotButton="0" quotePrefix="0" xfId="0">
      <alignment vertical="top"/>
    </xf>
    <xf numFmtId="3" fontId="1" fillId="2" borderId="0" applyAlignment="1" pivotButton="0" quotePrefix="0" xfId="0">
      <alignment horizontal="center" wrapText="1"/>
    </xf>
    <xf numFmtId="3" fontId="1" fillId="3" borderId="0" applyAlignment="1" pivotButton="0" quotePrefix="0" xfId="0">
      <alignment horizontal="center"/>
    </xf>
    <xf numFmtId="0" fontId="2" fillId="0" borderId="0" pivotButton="0" quotePrefix="0" xfId="0"/>
    <xf numFmtId="0" fontId="1" fillId="2" borderId="0" applyAlignment="1" pivotButton="0" quotePrefix="0" xfId="0">
      <alignment horizontal="center" vertical="top"/>
    </xf>
    <xf numFmtId="0" fontId="1" fillId="2" borderId="0" applyAlignment="1" pivotButton="0" quotePrefix="0" xfId="0">
      <alignment horizontal="right" vertical="top"/>
    </xf>
    <xf numFmtId="0" fontId="1" fillId="2" borderId="0" applyAlignment="1" pivotButton="0" quotePrefix="0" xfId="0">
      <alignment vertical="top"/>
    </xf>
    <xf numFmtId="0" fontId="6" fillId="0" borderId="0" applyAlignment="1" pivotButton="0" quotePrefix="0" xfId="0">
      <alignment vertical="top"/>
    </xf>
    <xf numFmtId="0" fontId="1" fillId="4" borderId="2" applyAlignment="1" pivotButton="0" quotePrefix="0" xfId="0">
      <alignment vertical="top"/>
    </xf>
    <xf numFmtId="49" fontId="1" fillId="0" borderId="0" applyAlignment="1" pivotButton="0" quotePrefix="0" xfId="0">
      <alignment horizontal="center" vertical="top"/>
    </xf>
    <xf numFmtId="10" fontId="1" fillId="0" borderId="0" applyAlignment="1" pivotButton="0" quotePrefix="0" xfId="0">
      <alignment horizontal="right" vertical="top"/>
    </xf>
    <xf numFmtId="0" fontId="1" fillId="4" borderId="3" applyAlignment="1" pivotButton="0" quotePrefix="0" xfId="0">
      <alignment vertical="top"/>
    </xf>
    <xf numFmtId="3" fontId="1" fillId="0" borderId="0" applyAlignment="1" pivotButton="0" quotePrefix="0" xfId="0">
      <alignment horizontal="center" vertical="top" wrapText="1"/>
    </xf>
    <xf numFmtId="49" fontId="7" fillId="0" borderId="0" applyAlignment="1" pivotButton="0" quotePrefix="0" xfId="0">
      <alignment horizontal="center"/>
    </xf>
    <xf numFmtId="0" fontId="1" fillId="5" borderId="2" applyAlignment="1" pivotButton="0" quotePrefix="0" xfId="0">
      <alignment vertical="top"/>
    </xf>
    <xf numFmtId="0" fontId="7" fillId="0" borderId="0" applyAlignment="1" pivotButton="0" quotePrefix="0" xfId="0">
      <alignment horizontal="center" vertical="top"/>
    </xf>
    <xf numFmtId="10" fontId="7" fillId="0" borderId="0" applyAlignment="1" pivotButton="0" quotePrefix="0" xfId="0">
      <alignment horizontal="right"/>
    </xf>
    <xf numFmtId="49" fontId="7" fillId="0" borderId="0" applyAlignment="1" pivotButton="0" quotePrefix="0" xfId="0">
      <alignment horizontal="center" vertical="top"/>
    </xf>
    <xf numFmtId="0" fontId="8" fillId="6" borderId="0" applyAlignment="1" pivotButton="0" quotePrefix="0" xfId="0">
      <alignment vertical="top"/>
    </xf>
    <xf numFmtId="0" fontId="1" fillId="0" borderId="0" pivotButton="0" quotePrefix="0" xfId="0"/>
    <xf numFmtId="0" fontId="7" fillId="0" borderId="0" applyAlignment="1" pivotButton="0" quotePrefix="0" xfId="0">
      <alignment vertical="top"/>
    </xf>
    <xf numFmtId="0" fontId="1" fillId="0" borderId="2" applyAlignment="1" pivotButton="0" quotePrefix="0" xfId="0">
      <alignment vertical="top"/>
    </xf>
    <xf numFmtId="0" fontId="1" fillId="7" borderId="2" applyAlignment="1" pivotButton="0" quotePrefix="0" xfId="0">
      <alignment vertical="top"/>
    </xf>
    <xf numFmtId="10" fontId="7" fillId="0" borderId="0" applyAlignment="1" pivotButton="0" quotePrefix="0" xfId="0">
      <alignment horizontal="right" vertical="top"/>
    </xf>
    <xf numFmtId="10" fontId="1" fillId="7" borderId="3" applyAlignment="1" pivotButton="0" quotePrefix="0" xfId="0">
      <alignment vertical="top"/>
    </xf>
    <xf numFmtId="3" fontId="7" fillId="0" borderId="0" applyAlignment="1" pivotButton="0" quotePrefix="0" xfId="0">
      <alignment horizontal="center" vertical="top" wrapText="1"/>
    </xf>
    <xf numFmtId="0" fontId="7" fillId="0" borderId="0" applyAlignment="1" pivotButton="0" quotePrefix="0" xfId="0">
      <alignment horizontal="center"/>
    </xf>
    <xf numFmtId="0" fontId="9" fillId="8" borderId="0" applyAlignment="1" pivotButton="0" quotePrefix="0" xfId="0">
      <alignment vertical="top"/>
    </xf>
    <xf numFmtId="0" fontId="1" fillId="9" borderId="2" applyAlignment="1" pivotButton="0" quotePrefix="0" xfId="0">
      <alignment vertical="top"/>
    </xf>
    <xf numFmtId="0" fontId="1" fillId="5" borderId="3" applyAlignment="1" pivotButton="0" quotePrefix="0" xfId="0">
      <alignment vertical="top"/>
    </xf>
    <xf numFmtId="0" fontId="1" fillId="10" borderId="2" applyAlignment="1" pivotButton="0" quotePrefix="0" xfId="0">
      <alignment vertical="top"/>
    </xf>
    <xf numFmtId="0" fontId="8" fillId="0" borderId="0" applyAlignment="1" pivotButton="0" quotePrefix="0" xfId="0">
      <alignment wrapText="1"/>
    </xf>
    <xf numFmtId="0" fontId="1" fillId="11" borderId="2" applyAlignment="1" pivotButton="0" quotePrefix="0" xfId="0">
      <alignment vertical="top"/>
    </xf>
    <xf numFmtId="0" fontId="1" fillId="12" borderId="2" applyAlignment="1" pivotButton="0" quotePrefix="0" xfId="0">
      <alignment vertical="top" wrapText="1"/>
    </xf>
    <xf numFmtId="0" fontId="10" fillId="13" borderId="3" applyAlignment="1" pivotButton="0" quotePrefix="0" xfId="0">
      <alignment vertical="top" wrapText="1"/>
    </xf>
    <xf numFmtId="0" fontId="1" fillId="14" borderId="2" applyAlignment="1" pivotButton="0" quotePrefix="0" xfId="0">
      <alignment vertical="top"/>
    </xf>
    <xf numFmtId="0" fontId="11" fillId="0" borderId="0" applyAlignment="1" pivotButton="0" quotePrefix="0" xfId="0">
      <alignment vertical="top"/>
    </xf>
    <xf numFmtId="164" fontId="10" fillId="13" borderId="0" pivotButton="0" quotePrefix="0" xfId="0"/>
    <xf numFmtId="164" fontId="2" fillId="0" borderId="0" pivotButton="0" quotePrefix="0" xfId="0"/>
    <xf numFmtId="0" fontId="1" fillId="6" borderId="2" applyAlignment="1" pivotButton="0" quotePrefix="0" xfId="0">
      <alignment vertical="top"/>
    </xf>
    <xf numFmtId="0" fontId="9" fillId="15" borderId="2" applyAlignment="1" pivotButton="0" quotePrefix="0" xfId="0">
      <alignment vertical="top" wrapText="1"/>
    </xf>
    <xf numFmtId="10" fontId="1" fillId="12" borderId="3" applyAlignment="1" pivotButton="0" quotePrefix="0" xfId="0">
      <alignment vertical="top" wrapText="1"/>
    </xf>
    <xf numFmtId="0" fontId="12" fillId="15" borderId="2" applyAlignment="1" pivotButton="0" quotePrefix="0" xfId="0">
      <alignment vertical="top" wrapText="1"/>
    </xf>
    <xf numFmtId="0" fontId="12" fillId="0" borderId="0" applyAlignment="1" pivotButton="0" quotePrefix="0" xfId="0">
      <alignment vertical="top"/>
    </xf>
    <xf numFmtId="0" fontId="7" fillId="16" borderId="2" applyAlignment="1" pivotButton="0" quotePrefix="0" xfId="0">
      <alignment vertical="top" wrapText="1"/>
    </xf>
    <xf numFmtId="0" fontId="1" fillId="15" borderId="2" applyAlignment="1" pivotButton="0" quotePrefix="0" xfId="0">
      <alignment vertical="top" wrapText="1"/>
    </xf>
    <xf numFmtId="0" fontId="1" fillId="0" borderId="3" applyAlignment="1" pivotButton="0" quotePrefix="0" xfId="0">
      <alignment vertical="top" wrapText="1"/>
    </xf>
    <xf numFmtId="0" fontId="11" fillId="0" borderId="2" applyAlignment="1" pivotButton="0" quotePrefix="0" xfId="0">
      <alignment vertical="top" wrapText="1"/>
    </xf>
    <xf numFmtId="164" fontId="9" fillId="0" borderId="0" applyAlignment="1" pivotButton="0" quotePrefix="0" xfId="0">
      <alignment vertical="top"/>
    </xf>
    <xf numFmtId="0" fontId="1" fillId="17" borderId="2" applyAlignment="1" pivotButton="0" quotePrefix="0" xfId="0">
      <alignment vertical="top" wrapText="1"/>
    </xf>
    <xf numFmtId="0" fontId="1" fillId="18" borderId="0" applyAlignment="1" pivotButton="0" quotePrefix="0" xfId="0">
      <alignment wrapText="1"/>
    </xf>
    <xf numFmtId="49" fontId="1" fillId="18" borderId="0" applyAlignment="1" pivotButton="0" quotePrefix="0" xfId="0">
      <alignment horizontal="center" vertical="top"/>
    </xf>
    <xf numFmtId="10" fontId="1" fillId="18" borderId="0" applyAlignment="1" pivotButton="0" quotePrefix="0" xfId="0">
      <alignment horizontal="right" vertical="top"/>
    </xf>
    <xf numFmtId="0" fontId="9" fillId="0" borderId="3" applyAlignment="1" pivotButton="0" quotePrefix="0" xfId="0">
      <alignment vertical="top" wrapText="1"/>
    </xf>
    <xf numFmtId="0" fontId="1" fillId="4" borderId="2" applyAlignment="1" pivotButton="0" quotePrefix="0" xfId="0">
      <alignment vertical="top" wrapText="1"/>
    </xf>
    <xf numFmtId="0" fontId="1" fillId="0" borderId="0" applyAlignment="1" pivotButton="0" quotePrefix="0" xfId="0">
      <alignment horizontal="center" vertical="top"/>
    </xf>
    <xf numFmtId="10" fontId="1" fillId="0" borderId="0" applyAlignment="1" pivotButton="0" quotePrefix="0" xfId="0">
      <alignment horizontal="right"/>
    </xf>
    <xf numFmtId="0" fontId="8" fillId="0" borderId="3" applyAlignment="1" pivotButton="0" quotePrefix="0" xfId="0">
      <alignment vertical="top" wrapText="1"/>
    </xf>
    <xf numFmtId="0" fontId="1" fillId="0" borderId="0" applyAlignment="1" pivotButton="0" quotePrefix="0" xfId="0">
      <alignment horizontal="center"/>
    </xf>
    <xf numFmtId="0" fontId="1" fillId="18" borderId="4" applyAlignment="1" pivotButton="0" quotePrefix="0" xfId="0">
      <alignment horizontal="center" vertical="top" wrapText="1"/>
    </xf>
    <xf numFmtId="0" fontId="1" fillId="15" borderId="4" applyAlignment="1" pivotButton="0" quotePrefix="0" xfId="0">
      <alignment horizontal="center" vertical="top" wrapText="1"/>
    </xf>
    <xf numFmtId="0" fontId="1" fillId="2" borderId="4" applyAlignment="1" pivotButton="0" quotePrefix="0" xfId="0">
      <alignment horizontal="center" vertical="top" wrapText="1"/>
    </xf>
    <xf numFmtId="0" fontId="1" fillId="2" borderId="4" applyAlignment="1" pivotButton="0" quotePrefix="0" xfId="0">
      <alignment horizontal="center" wrapText="1"/>
    </xf>
    <xf numFmtId="0" fontId="1" fillId="2" borderId="9" applyAlignment="1" pivotButton="0" quotePrefix="0" xfId="0">
      <alignment horizontal="center" wrapText="1"/>
    </xf>
    <xf numFmtId="0" fontId="1" fillId="2" borderId="6" applyAlignment="1" pivotButton="0" quotePrefix="0" xfId="0">
      <alignment horizontal="center" wrapText="1"/>
    </xf>
    <xf numFmtId="0" fontId="1" fillId="19" borderId="10" applyAlignment="1" pivotButton="0" quotePrefix="0" xfId="0">
      <alignment horizontal="center" wrapText="1"/>
    </xf>
    <xf numFmtId="0" fontId="1" fillId="19" borderId="4" applyAlignment="1" pivotButton="0" quotePrefix="0" xfId="0">
      <alignment horizontal="center" wrapText="1"/>
    </xf>
    <xf numFmtId="0" fontId="1" fillId="19" borderId="11" applyAlignment="1" pivotButton="0" quotePrefix="0" xfId="0">
      <alignment wrapText="1"/>
    </xf>
    <xf numFmtId="0" fontId="1" fillId="20" borderId="12" applyAlignment="1" pivotButton="0" quotePrefix="0" xfId="0">
      <alignment horizontal="center" wrapText="1"/>
    </xf>
    <xf numFmtId="0" fontId="1" fillId="20" borderId="4" applyAlignment="1" pivotButton="0" quotePrefix="0" xfId="0">
      <alignment horizontal="center" wrapText="1"/>
    </xf>
    <xf numFmtId="0" fontId="1" fillId="21" borderId="10" applyAlignment="1" pivotButton="0" quotePrefix="0" xfId="0">
      <alignment horizontal="center" wrapText="1"/>
    </xf>
    <xf numFmtId="0" fontId="1" fillId="21" borderId="4" applyAlignment="1" pivotButton="0" quotePrefix="0" xfId="0">
      <alignment horizontal="center" wrapText="1"/>
    </xf>
    <xf numFmtId="0" fontId="1" fillId="21" borderId="11" applyAlignment="1" pivotButton="0" quotePrefix="0" xfId="0">
      <alignment horizontal="center" wrapText="1"/>
    </xf>
    <xf numFmtId="0" fontId="1" fillId="11" borderId="0" applyAlignment="1" pivotButton="0" quotePrefix="0" xfId="0">
      <alignment horizontal="center" vertical="top" wrapText="1"/>
    </xf>
    <xf numFmtId="0" fontId="1" fillId="8" borderId="0" applyAlignment="1" pivotButton="0" quotePrefix="0" xfId="0">
      <alignment vertical="top" wrapText="1"/>
    </xf>
    <xf numFmtId="0" fontId="2" fillId="8" borderId="0" applyAlignment="1" pivotButton="0" quotePrefix="0" xfId="0">
      <alignment vertical="top"/>
    </xf>
    <xf numFmtId="9" fontId="1" fillId="8" borderId="0" applyAlignment="1" pivotButton="0" quotePrefix="0" xfId="0">
      <alignment horizontal="center" vertical="top" wrapText="1"/>
    </xf>
    <xf numFmtId="0" fontId="2" fillId="8" borderId="1" applyAlignment="1" pivotButton="0" quotePrefix="0" xfId="0">
      <alignment vertical="top"/>
    </xf>
    <xf numFmtId="0" fontId="2" fillId="8" borderId="2" applyAlignment="1" pivotButton="0" quotePrefix="0" xfId="0">
      <alignment vertical="top"/>
    </xf>
    <xf numFmtId="164" fontId="2" fillId="8" borderId="0" applyAlignment="1" pivotButton="0" quotePrefix="0" xfId="0">
      <alignment vertical="top"/>
    </xf>
    <xf numFmtId="0" fontId="2" fillId="8" borderId="3" applyAlignment="1" pivotButton="0" quotePrefix="0" xfId="0">
      <alignment vertical="top"/>
    </xf>
    <xf numFmtId="165" fontId="2" fillId="8" borderId="0" applyAlignment="1" pivotButton="0" quotePrefix="0" xfId="0">
      <alignment vertical="top"/>
    </xf>
    <xf numFmtId="0" fontId="1" fillId="15" borderId="0" applyAlignment="1" pivotButton="0" quotePrefix="0" xfId="0">
      <alignment vertical="top" wrapText="1"/>
    </xf>
    <xf numFmtId="0" fontId="7" fillId="15" borderId="0"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1" fillId="0" borderId="2" applyAlignment="1" pivotButton="0" quotePrefix="0" xfId="0">
      <alignment vertical="top" wrapText="1"/>
    </xf>
    <xf numFmtId="164" fontId="7" fillId="0" borderId="0" applyAlignment="1" pivotButton="0" quotePrefix="0" xfId="0">
      <alignment horizontal="center" vertical="top" wrapText="1"/>
    </xf>
    <xf numFmtId="0" fontId="7" fillId="0" borderId="0" applyAlignment="1" pivotButton="0" quotePrefix="0" xfId="0">
      <alignment horizontal="center" vertical="top" wrapText="1"/>
    </xf>
    <xf numFmtId="0" fontId="16" fillId="15" borderId="0" applyAlignment="1" pivotButton="0" quotePrefix="0" xfId="0">
      <alignment vertical="top" wrapText="1"/>
    </xf>
    <xf numFmtId="0" fontId="2" fillId="15" borderId="3" applyAlignment="1" pivotButton="0" quotePrefix="0" xfId="0">
      <alignment vertical="top"/>
    </xf>
    <xf numFmtId="165" fontId="2" fillId="15" borderId="0" applyAlignment="1" pivotButton="0" quotePrefix="0" xfId="0">
      <alignment vertical="top"/>
    </xf>
    <xf numFmtId="0" fontId="2" fillId="15" borderId="0" applyAlignment="1" pivotButton="0" quotePrefix="0" xfId="0">
      <alignment vertical="top"/>
    </xf>
    <xf numFmtId="0" fontId="2" fillId="15" borderId="2" applyAlignment="1" pivotButton="0" quotePrefix="0" xfId="0">
      <alignment vertical="top"/>
    </xf>
    <xf numFmtId="164" fontId="2" fillId="15" borderId="0" applyAlignment="1" pivotButton="0" quotePrefix="0" xfId="0">
      <alignment vertical="top"/>
    </xf>
    <xf numFmtId="0" fontId="5" fillId="0" borderId="0" applyAlignment="1" pivotButton="0" quotePrefix="0" xfId="0">
      <alignment vertical="top"/>
    </xf>
    <xf numFmtId="0" fontId="0" fillId="0" borderId="0" pivotButton="0" quotePrefix="0" xfId="0"/>
    <xf numFmtId="0" fontId="13" fillId="19" borderId="5" applyAlignment="1" pivotButton="0" quotePrefix="0" xfId="0">
      <alignment horizontal="center" vertical="top" wrapText="1"/>
    </xf>
    <xf numFmtId="0" fontId="0" fillId="0" borderId="6" pivotButton="0" quotePrefix="0" xfId="0"/>
    <xf numFmtId="0" fontId="14" fillId="20" borderId="13" applyAlignment="1" pivotButton="0" quotePrefix="0" xfId="0">
      <alignment horizontal="center" vertical="top" wrapText="1"/>
    </xf>
    <xf numFmtId="0" fontId="0" fillId="0" borderId="7" pivotButton="0" quotePrefix="0" xfId="0"/>
    <xf numFmtId="0" fontId="15" fillId="21" borderId="10" applyAlignment="1" pivotButton="0" quotePrefix="0" xfId="0">
      <alignment horizontal="center" vertical="top" wrapText="1"/>
    </xf>
    <xf numFmtId="0" fontId="0" fillId="0" borderId="8" pivotButton="0" quotePrefix="0" xfId="0"/>
    <xf numFmtId="0" fontId="1" fillId="11" borderId="0" applyAlignment="1" pivotButton="0" quotePrefix="0" xfId="0">
      <alignment horizontal="left" vertical="top" wrapText="1"/>
    </xf>
    <xf numFmtId="0" fontId="1" fillId="15" borderId="0" applyAlignment="1" pivotButton="0" quotePrefix="0" xfId="0">
      <alignment horizontal="left" vertical="top" wrapText="1"/>
    </xf>
    <xf numFmtId="0" fontId="17" fillId="0" borderId="0" applyAlignment="1" pivotButton="0" quotePrefix="0" xfId="0">
      <alignment horizontal="left" vertical="top" wrapText="1"/>
    </xf>
    <xf numFmtId="0" fontId="0" fillId="0" borderId="0" applyAlignment="1" pivotButton="0" quotePrefix="0" xfId="0">
      <alignment horizontal="left" vertical="top" wrapText="1"/>
    </xf>
    <xf numFmtId="0" fontId="18" fillId="0" borderId="0" applyAlignment="1" pivotButton="0" quotePrefix="0" xfId="0">
      <alignment horizontal="left" vertical="top" wrapText="1"/>
    </xf>
    <xf numFmtId="0" fontId="7" fillId="0" borderId="14" applyAlignment="1" pivotButton="0" quotePrefix="0" xfId="0">
      <alignment vertical="top" wrapText="1"/>
    </xf>
    <xf numFmtId="0" fontId="0" fillId="0" borderId="15"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Y1" authorId="0" shapeId="0">
      <text>
        <t>Overdue: Total issue that doesn't reach the target date for each BE and FE.
Due today: Total issue due today for each BE and FE.
Unassigned PIC: Total issue that has not been assigned to the BE and FE Developer.
Last Target BE: The latest (furthest time) target for fixing the bug in the 'BE Target' Column. Formula: Max.
Last Target FE: The latest (furthest time) target for fixing the bug in the 'FE Target' Column. Formula: Max.</t>
      </text>
    </comment>
    <comment ref="A11" authorId="0" shapeId="0">
      <text>
        <t>This TCS ID must be filled in for easy tracking or mention.
Use this format:
TCS-[Module Code]-[Sequence Number]
Example:
1. TCS-WEB-01-001
2. TCS-CMS-01-001</t>
      </text>
    </comment>
    <comment ref="B11" authorId="0" shapeId="0">
      <text>
        <t>Fill this with the menu name of the level 1</t>
      </text>
    </comment>
    <comment ref="C11" authorId="0" shapeId="0">
      <text>
        <t xml:space="preserve">Fill this with the menu name of the level 2.
If it only has level 1, fill it with (-) or minus sign. </t>
      </text>
    </comment>
    <comment ref="D11" authorId="0" shapeId="0">
      <text>
        <t>Fill this with the menu name of the level 3.
If it only has levels 1-2, fill it with (-) or minus sign.
You can hide this column if all of the menus do not have level 3.</t>
      </text>
    </comment>
    <comment ref="E11" authorId="0" shapeId="0">
      <text>
        <t>Use sentences with verb prefixes, (ex: "Melihat daftar user").
Write all possible testing scenarios (positive cases and negative cases).
Remember!! 
Testing is the process of executing a program with the intent of finding errors. 
When running TCS and you discover a new case, don't forget to write down that new case.</t>
      </text>
    </comment>
    <comment ref="F11" authorId="0" shapeId="0">
      <text>
        <t>Write the test step in as much detail as possible to ease the process of running the test case scenario.</t>
      </text>
    </comment>
    <comment ref="G11" authorId="0" shapeId="0">
      <text>
        <t>Write all the results that are expected when running the test case scenario.
Use numbering if the expected result is more than one.
Example:
1. Expected Result 1
2. Expected Result 2</t>
      </text>
    </comment>
    <comment ref="H11" authorId="0" shapeId="0">
      <text>
        <t xml:space="preserve">TEST TYPE INFORMATION
Pos. : Positive Test Case, expected to function correctly (valid data)
Neg. : Negative Test Case, expected to fail (invalid or incorrect data) </t>
      </text>
    </comment>
    <comment ref="I11" authorId="0" shapeId="0">
      <text>
        <t>Write the user role who will run the test case scenario</t>
      </text>
    </comment>
    <comment ref="K11" authorId="0" shapeId="0">
      <text>
        <t>Define the testing status with the latest. See the status flow in cell J1.
[STATUS INFORMATION]
1. OK: No issue or all issues have been fixed and checked (OK).
2. MINOR: All issues in the 'Issue Update' section are MINOR.
3. NOT OK: There is a CRITICAL or MAJOR issue in the 'Issue Update' section.
4. HOLD: Testing is postponed because something needs to be confirmed.
5. READY FOR TEST: Testing for the TCS needs to be run.
6. NOT RUN: TCS-related features have not been developed, and testing can't be run.</t>
      </text>
    </comment>
    <comment ref="L11" authorId="0" shapeId="0">
      <text>
        <t>Each time the status is updated, this 'Updated At' date should be updated
Format date: 
Day, DD Mon (Ex: Mon, 29 Apr)
Use the keyboard shortcut CTRL/CMD + ; 
to fill the cell with today's date</t>
      </text>
    </comment>
    <comment ref="M11" authorId="0" shapeId="0">
      <text>
        <t>Fill this column with the analyst name who is in charge/testing the scenario
Adjust the analyst name or add a new PIC in the 'Summary' Sheet &gt; 'Functional Testing' Section &gt; 'Testing Update - Analyst' Table</t>
      </text>
    </comment>
    <comment ref="N11" authorId="0" shapeId="0">
      <text>
        <t>Fill this column with test evidence for the related scenario (image screenshot link or screen recording link).
It would be beneficial if the Main PIC were not responsible (being helped) for the testing. It can be confirmed that the test meets the expected results based on this OK Evidence.
This OK Evidence can be adjusted to the number of expected results. If the expected results are more than one, it can be written like this:
1. here
2. here
3. here</t>
      </text>
    </comment>
    <comment ref="O11" authorId="0" shapeId="0">
      <text>
        <t>Define the issue status with the latest. See the status flow in cell N1.
[STATUS INFORMATION]
1. OK: The issue has been fixed (DONE) by the developer and checked (meets the expectation) by the analyst.
2. MINOR: The issue is not related to the main functionality or component. Example: 'nice to have' features, user behavior, wording, etc.
3. MAJOR: The issue related to the main functionality or component. But it is NOT A BLOCKER to other functions.
4. CRITICAL: The issue related to the main functionality or component. And A BLOCKER for other functions.
5. HOLD: The issue is postponed because something needs to be confirmed.
6. Not Issue: Not an issue after some rechecking and discussion.
7. OK-moved: The issue is moved to Issue Tracker for easier tracking (due to unusual project flow).
8. Unassigned: The issue should be assigned with the updated status.
[BACKGROUND COLOR]
- The cell will be filled with dark gray if the developer status is DONE. This means it is ready for a test.
- The cell will be filled with light cyan if the developer status is HOLD. This means it needs to be confirmed with the developer asap.
- The cell will be filled with cyan if the developer status is Done but the Issue Status is HOLD. This means it needs to be confirmed with the client asap.
!! Don't forget that after testing and changing the testing status to OK, then look at the developer status. If it is still ISSUED then change it to DONE.</t>
      </text>
    </comment>
    <comment ref="P11" authorId="0" shapeId="0">
      <text>
        <t>Each time the status is updated, this 'Updated At' date time should be updated
Format date: 
Day, DD Mon /HH:MM (Ex: Mon, 29 Apr / 12:12)
Use the keyboard shortcut CTRL/CMD + ALT/OPT + SHIFT + ; 
to fill the cell with today's date time</t>
      </text>
    </comment>
    <comment ref="Q11" authorId="0" shapeId="0">
      <text>
        <t>Define the issue scope based on the PIC who will fix it.
[SCOPE INFORMATION]
1. BE: Backend Developer
2. FE: Frontend Developer
3. BE - FE: BE needs to fix it first then FE fixes it
4. FE - BE: FE needs to fix it first then BE fixes it</t>
      </text>
    </comment>
    <comment ref="R11" authorId="0" shapeId="0">
      <text>
        <t xml:space="preserve">WRITING ISSUE GUIDELINE
A. An issue is written in one row, if there is more than one issue you can insert a new row under the related TCS.
B. Using the 'Insert link' feature, you can provide an issue screenshot link for clarity. Example:
1. Issue 1. Check [here]
C. If the issue happens on the mobile device, add the description (Mobile). If the issue is specific to a mobile OS, add a description (Mobile - OS). Example:
1. (Mobile) Issue1
2. (Mobile - iOS) Issue2
D. After writing the issue, add the "Issued" status to the developer status and complete the other information in the 'Developer Update' section according to the issue.
E. Can use the 'Comment' feature to mention the developers directly. </t>
      </text>
    </comment>
    <comment ref="S11" authorId="0" shapeId="0">
      <text>
        <t>Define the developer status with the latest. See the status flow in cell R1.
[STATUS INFORMATION]
1. Issued: The issue needs to be fixed.
2. On Progress: The issue is being fixed.
3. Local Done: The issue has been fixed but is still in the developer's local environment.
4. On Review: The issue is being reviewed by the developer's supervisor.
5. BE Done Next FE: The BE-FE scope issue has been done by the BE developer, and then needs to be fixed by the FE developer.
6. FE Done Next BE: The FE-BE scope issue has been done by the FE developer, and then needs to be fixed by the BE developer.
7. Done: The issue has been fixed and has been implemented by the final PIC.
8. Hold: The issue is postponed because something needs to be confirmed.</t>
      </text>
    </comment>
    <comment ref="T11" authorId="0" shapeId="0">
      <text>
        <t>Each time the status is updated, this 'Updated At' date time should be updated
Format date: 
Day, DD Mon /HH:MM (Ex: Mon, 29 Apr / 12:12)
Use the keyboard shortcut CTRL/CMD + ALT/OPT + SHIFT + ; 
to fill the cell with today's date time</t>
      </text>
    </comment>
    <comment ref="U11" authorId="0" shapeId="0">
      <text>
        <t>Define the current PIC who should/is fixing the issue.
1. BE: Backend Developer
2. FE: Frontend Developer</t>
      </text>
    </comment>
    <comment ref="V11" authorId="0" shapeId="0">
      <text>
        <t>Assign the BE Developer name who should fix the issue.
Adjust the BE Developer name or add a new PIC in the 'Summary' Sheet &gt; 'Functional Testing' Section &gt; 'Developer Update' Section.
If the BE Developer name is marked in BOLD BLUE, the developer is the current PIC (PIC Now).</t>
      </text>
    </comment>
    <comment ref="W11" authorId="0" shapeId="0">
      <text>
        <t>Assign the FE Developer name who should fix the issue (If this Module is for CMS, just hide this column).
Adjust the FE Developer name or add a new PIC in the 'Summary' Sheet &gt; 'Functional Testing' Section &gt; 'Developer Update' Section.
If the FE Developer name is marked in BOLD RED, the developer is the current PIC (PIC Now).</t>
      </text>
    </comment>
    <comment ref="X11" authorId="0" shapeId="0">
      <text>
        <t>Define the Backend Development target for fixing the issue. BE must be committed to the target.
If the target is due today, the date will be marked in BOLD GREEN.
If the target is overdue, the date will be marked in BOLD RED. This should be noted by the developer to immediately fix it or update the target.</t>
      </text>
    </comment>
    <comment ref="Y11" authorId="0" shapeId="0">
      <text>
        <t>Define the Frontend Development target for fixing the issue.
FE must be committed to the target.</t>
      </text>
    </comment>
    <comment ref="Z11" authorId="0" shapeId="0">
      <text>
        <t>BE Developer can write additional information regarding the issue in this column</t>
      </text>
    </comment>
    <comment ref="AA11" authorId="0" shapeId="0">
      <text>
        <t>FE Developer can write additional information regarding the issue in this column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qFQ4NAdQbhwVKl2bsQUqrQFKKrMVpQpK/view?usp=sharing" TargetMode="External" Id="rId1"/><Relationship Type="http://schemas.openxmlformats.org/officeDocument/2006/relationships/hyperlink" Target="https://drive.google.com/file/d/1W6aXz1aruBW4J2A-lbRuA9fCZxIT-2P2/view?usp=sharing" TargetMode="External" Id="rId2"/><Relationship Type="http://schemas.openxmlformats.org/officeDocument/2006/relationships/hyperlink" Target="https://drive.google.com/file/d/1jUJiamUMM-YKog1tIdwksxCagkAwHYlp/view?usp=sharing"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E14"/>
  <sheetViews>
    <sheetView tabSelected="1" topLeftCell="G10" zoomScale="115" zoomScaleNormal="115" workbookViewId="0">
      <selection activeCell="R13" sqref="R13"/>
    </sheetView>
  </sheetViews>
  <sheetFormatPr baseColWidth="8" defaultColWidth="12.5703125" defaultRowHeight="15.75" customHeight="1"/>
  <cols>
    <col width="17.42578125" customWidth="1" style="104" min="5" max="5"/>
    <col width="31.7109375" customWidth="1" style="104" min="6" max="6"/>
  </cols>
  <sheetData>
    <row r="1" ht="12.75" customHeight="1" s="104">
      <c r="A1" s="1" t="inlineStr">
        <is>
          <t>Notes Apps</t>
        </is>
      </c>
      <c r="B1" s="2" t="n"/>
      <c r="C1" s="2" t="n"/>
      <c r="D1" s="2" t="n"/>
      <c r="E1" s="2" t="n"/>
      <c r="F1" s="1" t="inlineStr">
        <is>
          <t>Account Credential:</t>
        </is>
      </c>
      <c r="G1" s="2" t="n"/>
      <c r="H1" s="2" t="n"/>
      <c r="I1" s="3" t="n"/>
      <c r="J1" s="2" t="n"/>
      <c r="K1" s="4" t="inlineStr">
        <is>
          <t>Testing</t>
        </is>
      </c>
      <c r="L1" s="5" t="inlineStr">
        <is>
          <t>Total</t>
        </is>
      </c>
      <c r="M1" s="6" t="inlineStr">
        <is>
          <t>%</t>
        </is>
      </c>
      <c r="N1" s="7" t="n"/>
      <c r="O1" s="8" t="inlineStr">
        <is>
          <t>Issue</t>
        </is>
      </c>
      <c r="P1" s="9">
        <f>"Total" &amp; " (" &amp; SUM(P2,P3,P4,P5,P6,P7,P9) &amp; ") "</f>
        <v/>
      </c>
      <c r="Q1" s="10">
        <f>"Need Test" &amp; " (" &amp; SUM(Q2:Q9) &amp; ") "</f>
        <v/>
      </c>
      <c r="R1" s="11" t="n"/>
      <c r="S1" s="4" t="inlineStr">
        <is>
          <t>Bug Fixing</t>
        </is>
      </c>
      <c r="T1" s="12">
        <f>SUM(T2:T9)</f>
        <v/>
      </c>
      <c r="U1" s="13" t="inlineStr">
        <is>
          <t>%</t>
        </is>
      </c>
      <c r="V1" s="5" t="inlineStr">
        <is>
          <t>BE</t>
        </is>
      </c>
      <c r="W1" s="5" t="inlineStr">
        <is>
          <t>FE</t>
        </is>
      </c>
      <c r="X1" s="11" t="n"/>
      <c r="Y1" s="14" t="inlineStr">
        <is>
          <t>Others</t>
        </is>
      </c>
      <c r="Z1" s="14" t="inlineStr">
        <is>
          <t>BE , FE</t>
        </is>
      </c>
      <c r="AA1" s="11" t="n"/>
    </row>
    <row r="2" ht="12.75" customHeight="1" s="104">
      <c r="A2" s="103" t="n"/>
      <c r="F2" s="15" t="inlineStr">
        <is>
          <t>mandatory (if any)</t>
        </is>
      </c>
      <c r="G2" s="2" t="n"/>
      <c r="H2" s="2" t="n"/>
      <c r="I2" s="3" t="n"/>
      <c r="J2" s="2" t="n"/>
      <c r="K2" s="16" t="inlineStr">
        <is>
          <t>OK</t>
        </is>
      </c>
      <c r="L2" s="17">
        <f>COUNTIF($K$13:$K981,$K2)</f>
        <v/>
      </c>
      <c r="M2" s="18">
        <f>L2/$E$10</f>
        <v/>
      </c>
      <c r="N2" s="11" t="n"/>
      <c r="O2" s="19" t="inlineStr">
        <is>
          <t>OK</t>
        </is>
      </c>
      <c r="P2" s="20">
        <f>COUNTIF($O$12:$O981,"OK*")</f>
        <v/>
      </c>
      <c r="Q2" s="21" t="inlineStr">
        <is>
          <t>-</t>
        </is>
      </c>
      <c r="R2" s="11" t="n"/>
      <c r="S2" s="22" t="inlineStr">
        <is>
          <t>Issued</t>
        </is>
      </c>
      <c r="T2" s="23">
        <f>COUNTIF($S$12:$S981, $S2)</f>
        <v/>
      </c>
      <c r="U2" s="24">
        <f>IFERROR(T2/$T$1,"-")</f>
        <v/>
      </c>
      <c r="V2" s="25">
        <f>COUNTIFS($S$12:$S981,$S2,$U$12:$U981,V$1)</f>
        <v/>
      </c>
      <c r="W2" s="25">
        <f>COUNTIFS($S$12:$S981,$S2,$U$12:$U981,W$1)</f>
        <v/>
      </c>
      <c r="X2" s="11" t="n"/>
      <c r="Y2" s="26" t="inlineStr">
        <is>
          <t>Overdue</t>
        </is>
      </c>
      <c r="Z2" s="27" t="inlineStr">
        <is>
          <t>0 , 0</t>
        </is>
      </c>
      <c r="AA2" s="11" t="n"/>
    </row>
    <row r="3" ht="12.75" customHeight="1" s="104">
      <c r="A3" s="1" t="inlineStr">
        <is>
          <t>👤 Users</t>
        </is>
      </c>
      <c r="B3" s="28" t="inlineStr">
        <is>
          <t>Publik &amp; Pembeli</t>
        </is>
      </c>
      <c r="C3" s="2" t="n"/>
      <c r="D3" s="2" t="n"/>
      <c r="E3" s="29" t="inlineStr">
        <is>
          <t>⚠️  Legend</t>
        </is>
      </c>
      <c r="F3" s="2" t="n"/>
      <c r="G3" s="2" t="n"/>
      <c r="H3" s="2" t="n"/>
      <c r="I3" s="3" t="n"/>
      <c r="J3" s="2" t="n"/>
      <c r="K3" s="30" t="inlineStr">
        <is>
          <t>MINOR</t>
        </is>
      </c>
      <c r="L3" s="25">
        <f>COUNTIF($K$12:$K981,$K3)</f>
        <v/>
      </c>
      <c r="M3" s="31">
        <f>L3/$E$10</f>
        <v/>
      </c>
      <c r="N3" s="11" t="n"/>
      <c r="O3" s="32" t="inlineStr">
        <is>
          <t>MINOR</t>
        </is>
      </c>
      <c r="P3" s="33">
        <f>COUNTIF($O$12:$O981,O3)</f>
        <v/>
      </c>
      <c r="Q3" s="34">
        <f>COUNTIFS($O$12:$O981,$O3,$S$12:$S981,$S$8)</f>
        <v/>
      </c>
      <c r="R3" s="11" t="n"/>
      <c r="S3" s="30" t="inlineStr">
        <is>
          <t>On Progress</t>
        </is>
      </c>
      <c r="T3" s="23">
        <f>COUNTIF($S$12:$S982, $S3)</f>
        <v/>
      </c>
      <c r="U3" s="24">
        <f>IFERROR(T3/$T$1,"-")</f>
        <v/>
      </c>
      <c r="V3" s="25">
        <f>COUNTIFS($S$12:$S981,$S3,$U$12:$U981,V$1)</f>
        <v/>
      </c>
      <c r="W3" s="25">
        <f>COUNTIFS($S$12:$S981,$S3,$U$12:$U981,W$1)</f>
        <v/>
      </c>
      <c r="X3" s="11" t="n"/>
      <c r="Y3" s="35" t="inlineStr">
        <is>
          <t>Due Today</t>
        </is>
      </c>
      <c r="Z3" s="27" t="inlineStr">
        <is>
          <t>0 , 0</t>
        </is>
      </c>
      <c r="AA3" s="11" t="n"/>
    </row>
    <row r="4" ht="25.5" customHeight="1" s="104">
      <c r="A4" s="1" t="inlineStr">
        <is>
          <t>🔗 Design</t>
        </is>
      </c>
      <c r="B4" s="28" t="inlineStr">
        <is>
          <t>: put the link</t>
        </is>
      </c>
      <c r="C4" s="2" t="n"/>
      <c r="D4" s="2" t="n"/>
      <c r="E4" s="36" t="inlineStr">
        <is>
          <t>Example</t>
        </is>
      </c>
      <c r="F4" s="2" t="n"/>
      <c r="G4" s="2" t="n"/>
      <c r="H4" s="2" t="n"/>
      <c r="I4" s="3" t="n"/>
      <c r="J4" s="2" t="n"/>
      <c r="K4" s="22" t="inlineStr">
        <is>
          <t>NOT OK</t>
        </is>
      </c>
      <c r="L4" s="25">
        <f>COUNTIF($K$12:$K982,$K4)</f>
        <v/>
      </c>
      <c r="M4" s="31">
        <f>L4/$E$10</f>
        <v/>
      </c>
      <c r="N4" s="11" t="n"/>
      <c r="O4" s="37" t="inlineStr">
        <is>
          <t>MAJOR</t>
        </is>
      </c>
      <c r="P4" s="33">
        <f>COUNTIF($O$12:$O982,O4)</f>
        <v/>
      </c>
      <c r="Q4" s="34">
        <f>COUNTIFS($O$12:$O982,$O4,$S$12:$S982,$S$8)</f>
        <v/>
      </c>
      <c r="R4" s="11" t="n"/>
      <c r="S4" s="38" t="inlineStr">
        <is>
          <t>Local Done</t>
        </is>
      </c>
      <c r="T4" s="23">
        <f>COUNTIF($S$12:$S983, $S4)</f>
        <v/>
      </c>
      <c r="U4" s="24">
        <f>IFERROR(T4/$T$1,"-")</f>
        <v/>
      </c>
      <c r="V4" s="25">
        <f>COUNTIFS($S$12:$S981,$S4,$U$12:$U981,V$1)</f>
        <v/>
      </c>
      <c r="W4" s="25">
        <f>COUNTIFS($S$12:$S981,$S4,$U$12:$U981,W$1)</f>
        <v/>
      </c>
      <c r="X4" s="11" t="n"/>
      <c r="Y4" s="39" t="inlineStr">
        <is>
          <t>Unassigned PIC</t>
        </is>
      </c>
      <c r="Z4" s="39">
        <f>COUNTIFS($S$12:$S981,"*",$U$12:$U981,"BE", $V$12:$V981,"") &amp; " , " &amp; COUNTIFS($S$12:$S981,"*",$U$12:$U981,"FE", $W$12:$W981,"")</f>
        <v/>
      </c>
      <c r="AA4" s="11" t="n"/>
    </row>
    <row r="5" ht="12.75" customHeight="1" s="104">
      <c r="A5" s="1" t="inlineStr">
        <is>
          <t>🔗 FE</t>
        </is>
      </c>
      <c r="B5" s="28" t="inlineStr">
        <is>
          <t>: put the link</t>
        </is>
      </c>
      <c r="C5" s="2" t="n"/>
      <c r="D5" s="1" t="inlineStr">
        <is>
          <t>-</t>
        </is>
      </c>
      <c r="E5" s="40" t="inlineStr">
        <is>
          <t>Priority</t>
        </is>
      </c>
      <c r="F5" s="2" t="n"/>
      <c r="G5" s="2" t="n"/>
      <c r="H5" s="2" t="n"/>
      <c r="I5" s="3" t="n"/>
      <c r="J5" s="2" t="n"/>
      <c r="K5" s="41" t="inlineStr">
        <is>
          <t>HOLD</t>
        </is>
      </c>
      <c r="L5" s="25">
        <f>COUNTIF($K$12:$K983,$K5)</f>
        <v/>
      </c>
      <c r="M5" s="31">
        <f>L5/$E$10</f>
        <v/>
      </c>
      <c r="N5" s="11" t="n"/>
      <c r="O5" s="42" t="inlineStr">
        <is>
          <t>CRITICAL</t>
        </is>
      </c>
      <c r="P5" s="33">
        <f>COUNTIF($O$12:$O983,O5)</f>
        <v/>
      </c>
      <c r="Q5" s="34">
        <f>COUNTIFS($O$12:$O983,$O5,$S$12:$S983,$S$8)</f>
        <v/>
      </c>
      <c r="R5" s="11" t="n"/>
      <c r="S5" s="43" t="inlineStr">
        <is>
          <t>On Review</t>
        </is>
      </c>
      <c r="T5" s="23">
        <f>COUNTIF($S$12:$S984, $S5)</f>
        <v/>
      </c>
      <c r="U5" s="24">
        <f>IFERROR(T5/$T$1,"-")</f>
        <v/>
      </c>
      <c r="V5" s="25">
        <f>COUNTIFS($S$12:$S981,$S5,$U$12:$U981,V$1)</f>
        <v/>
      </c>
      <c r="W5" s="25">
        <f>COUNTIFS($S$12:$S981,$S5,$U$12:$U981,W$1)</f>
        <v/>
      </c>
      <c r="X5" s="11" t="n"/>
      <c r="Y5" s="44" t="inlineStr">
        <is>
          <t>Last Target BE</t>
        </is>
      </c>
      <c r="Z5" s="45">
        <f>IF(MAX(X12:X981) &gt; 0, MAX(X12:X981), "No Target")</f>
        <v/>
      </c>
      <c r="AA5" s="46" t="n"/>
    </row>
    <row r="6" ht="25.5" customHeight="1" s="104">
      <c r="A6" s="1" t="inlineStr">
        <is>
          <t>🔗 Staging</t>
        </is>
      </c>
      <c r="B6" s="28" t="inlineStr">
        <is>
          <t>: put the link</t>
        </is>
      </c>
      <c r="C6" s="2" t="n"/>
      <c r="D6" s="2" t="n"/>
      <c r="E6" s="47" t="inlineStr">
        <is>
          <t>Need for Clarification</t>
        </is>
      </c>
      <c r="F6" s="2" t="n"/>
      <c r="G6" s="2" t="n"/>
      <c r="H6" s="2" t="n"/>
      <c r="I6" s="3" t="n"/>
      <c r="J6" s="2" t="n"/>
      <c r="K6" s="48" t="inlineStr">
        <is>
          <t>READY FOR TEST</t>
        </is>
      </c>
      <c r="L6" s="25">
        <f>COUNTIF($K$12:$K984,$K6)</f>
        <v/>
      </c>
      <c r="M6" s="31">
        <f>L6/$E$10</f>
        <v/>
      </c>
      <c r="N6" s="11" t="n"/>
      <c r="O6" s="49" t="inlineStr">
        <is>
          <t>HOLD</t>
        </is>
      </c>
      <c r="P6" s="33">
        <f>COUNTIF($O$12:$O984,O6)</f>
        <v/>
      </c>
      <c r="Q6" s="34">
        <f>COUNTIFS($O$12:$O984,$O6,$S$12:$S984,$S$8)</f>
        <v/>
      </c>
      <c r="R6" s="11" t="n"/>
      <c r="S6" s="50" t="inlineStr">
        <is>
          <t>BE Done Next FE</t>
        </is>
      </c>
      <c r="T6" s="23">
        <f>COUNTIF($S$12:$S985, $S6)</f>
        <v/>
      </c>
      <c r="U6" s="24">
        <f>IFERROR(T6/$T$1,"-")</f>
        <v/>
      </c>
      <c r="V6" s="25">
        <f>COUNTIFS($S$12:$S981,$S6,$U$12:$U981,V$1)</f>
        <v/>
      </c>
      <c r="W6" s="25">
        <f>COUNTIFS($S$12:$S981,$S6,$U$12:$U981,W$1)</f>
        <v/>
      </c>
      <c r="X6" s="11" t="n"/>
      <c r="Y6" s="51" t="inlineStr">
        <is>
          <t>Last Target FE</t>
        </is>
      </c>
      <c r="Z6" s="45">
        <f>IF(MAX(Y12:Y981) &gt; 0, MAX(Y12:Y981), "No Target")</f>
        <v/>
      </c>
      <c r="AA6" s="11" t="n"/>
    </row>
    <row r="7" ht="25.5" customHeight="1" s="104">
      <c r="C7" s="2" t="n"/>
      <c r="D7" s="2" t="n"/>
      <c r="E7" s="52" t="inlineStr">
        <is>
          <t>Just Added</t>
        </is>
      </c>
      <c r="F7" s="2" t="n"/>
      <c r="G7" s="2" t="n"/>
      <c r="H7" s="2" t="n"/>
      <c r="I7" s="3" t="n"/>
      <c r="J7" s="2" t="n"/>
      <c r="K7" s="53" t="inlineStr">
        <is>
          <t>NOT RUN</t>
        </is>
      </c>
      <c r="L7" s="25">
        <f>COUNTIFS($K$12:$K981,"",E12:E981,"*")</f>
        <v/>
      </c>
      <c r="M7" s="31">
        <f>L7/$E$10</f>
        <v/>
      </c>
      <c r="N7" s="11" t="n"/>
      <c r="O7" s="54" t="inlineStr">
        <is>
          <t>Not Issue</t>
        </is>
      </c>
      <c r="P7" s="20">
        <f>COUNTIF($O$12:$O985,O7)</f>
        <v/>
      </c>
      <c r="Q7" s="34" t="inlineStr">
        <is>
          <t>-</t>
        </is>
      </c>
      <c r="R7" s="2" t="n"/>
      <c r="S7" s="55" t="inlineStr">
        <is>
          <t>FE Done Next BE</t>
        </is>
      </c>
      <c r="T7" s="23">
        <f>COUNTIF($S$12:$S986, $S7)</f>
        <v/>
      </c>
      <c r="U7" s="24">
        <f>IFERROR(T7/$T$1,"-")</f>
        <v/>
      </c>
      <c r="V7" s="25">
        <f>COUNTIFS($S$12:$S981,$S7,$U$12:$U981,V$1)</f>
        <v/>
      </c>
      <c r="W7" s="25">
        <f>COUNTIFS($S$12:$S981,$S7,$U$12:$U981,W$1)</f>
        <v/>
      </c>
      <c r="X7" s="11" t="n"/>
      <c r="Y7" s="1" t="inlineStr">
        <is>
          <t>Today</t>
        </is>
      </c>
      <c r="Z7" s="56">
        <f>TODAY()</f>
        <v/>
      </c>
      <c r="AA7" s="11" t="n"/>
    </row>
    <row r="8" ht="12.75" customHeight="1" s="104">
      <c r="A8" s="2" t="n"/>
      <c r="B8" s="2" t="n"/>
      <c r="C8" s="2" t="n"/>
      <c r="D8" s="2" t="n"/>
      <c r="E8" s="57" t="inlineStr">
        <is>
          <t>Takeout</t>
        </is>
      </c>
      <c r="F8" s="2" t="n"/>
      <c r="G8" s="2" t="n"/>
      <c r="H8" s="2" t="n"/>
      <c r="I8" s="3" t="n"/>
      <c r="J8" s="2" t="n"/>
      <c r="K8" s="58" t="inlineStr">
        <is>
          <t>Total Run</t>
        </is>
      </c>
      <c r="L8" s="59">
        <f>SUM(L2:L5)</f>
        <v/>
      </c>
      <c r="M8" s="60">
        <f>L8/$E$10</f>
        <v/>
      </c>
      <c r="N8" s="11" t="n"/>
      <c r="O8" s="61" t="inlineStr">
        <is>
          <t>OK-moved</t>
        </is>
      </c>
      <c r="P8" s="33">
        <f>COUNTIF($O$12:$O986,O8)</f>
        <v/>
      </c>
      <c r="Q8" s="34" t="inlineStr">
        <is>
          <t>-</t>
        </is>
      </c>
      <c r="R8" s="2" t="n"/>
      <c r="S8" s="62" t="inlineStr">
        <is>
          <t>Done</t>
        </is>
      </c>
      <c r="T8" s="63">
        <f>COUNTIF($S$12:$S987, $S8)</f>
        <v/>
      </c>
      <c r="U8" s="64">
        <f>IFERROR(T8/$T$1,"-")</f>
        <v/>
      </c>
      <c r="V8" s="25">
        <f>COUNTIFS($S$12:$S981,$S8,$U$12:$U981,V$1)</f>
        <v/>
      </c>
      <c r="W8" s="25">
        <f>COUNTIFS($S$12:$S981,$S8,$U$12:$U981,W$1)</f>
        <v/>
      </c>
      <c r="X8" s="11" t="n"/>
      <c r="Y8" s="11" t="n"/>
      <c r="Z8" s="11" t="n"/>
      <c r="AA8" s="11" t="n"/>
    </row>
    <row r="9" ht="12.75" customHeight="1" s="104">
      <c r="A9" s="2" t="n"/>
      <c r="B9" s="2" t="n"/>
      <c r="C9" s="2" t="n"/>
      <c r="D9" s="2" t="n"/>
      <c r="E9" s="11" t="n"/>
      <c r="F9" s="2" t="n"/>
      <c r="G9" s="2" t="n"/>
      <c r="H9" s="2" t="n"/>
      <c r="I9" s="3" t="n"/>
      <c r="J9" s="2" t="n"/>
      <c r="K9" s="11" t="n"/>
      <c r="L9" s="11" t="n"/>
      <c r="M9" s="11" t="n"/>
      <c r="N9" s="11" t="n"/>
      <c r="O9" s="65" t="inlineStr">
        <is>
          <t>Unassigned</t>
        </is>
      </c>
      <c r="P9" s="20">
        <f>COUNTIFS($O$12:$O981, "",$R$12:$R981,"*")</f>
        <v/>
      </c>
      <c r="Q9" s="66">
        <f>COUNTIFS($O$12:$O981,"",$S$12:$S981,$S$8)</f>
        <v/>
      </c>
      <c r="R9" s="2" t="n"/>
      <c r="S9" s="41" t="inlineStr">
        <is>
          <t>Hold</t>
        </is>
      </c>
      <c r="T9" s="23">
        <f>COUNTIF($S$12:$S988, $S9)</f>
        <v/>
      </c>
      <c r="U9" s="24">
        <f>IFERROR(T9/$T$1,"-")</f>
        <v/>
      </c>
      <c r="V9" s="25">
        <f>COUNTIFS($S$12:$S981,$S9,$U$12:$U981,V$1)</f>
        <v/>
      </c>
      <c r="W9" s="25">
        <f>COUNTIFS($S$12:$S981,$S9,$U$12:$U981,W$1)</f>
        <v/>
      </c>
      <c r="X9" s="2" t="n"/>
      <c r="Y9" s="11" t="n"/>
      <c r="Z9" s="11" t="n"/>
      <c r="AA9" s="11" t="n"/>
    </row>
    <row r="10" ht="25.5" customHeight="1" s="104">
      <c r="A10" s="2" t="n"/>
      <c r="B10" s="2" t="n"/>
      <c r="C10" s="2" t="n"/>
      <c r="D10" s="67" t="inlineStr">
        <is>
          <t>Scenario Total</t>
        </is>
      </c>
      <c r="E10" s="68">
        <f>COUNTA($E$13:$E981)</f>
        <v/>
      </c>
      <c r="F10" s="2" t="n"/>
      <c r="G10" s="2" t="n"/>
      <c r="H10" s="2" t="n"/>
      <c r="I10" s="3" t="n"/>
      <c r="J10" s="2" t="n"/>
      <c r="K10" s="105" t="inlineStr">
        <is>
          <t>Testing Update</t>
        </is>
      </c>
      <c r="L10" s="106" t="n"/>
      <c r="M10" s="106" t="n"/>
      <c r="N10" s="106" t="n"/>
      <c r="O10" s="107" t="inlineStr">
        <is>
          <t>Issue Update</t>
        </is>
      </c>
      <c r="P10" s="106" t="n"/>
      <c r="Q10" s="106" t="n"/>
      <c r="R10" s="108" t="n"/>
      <c r="S10" s="109" t="inlineStr">
        <is>
          <t>Developer Update</t>
        </is>
      </c>
      <c r="T10" s="106" t="n"/>
      <c r="U10" s="106" t="n"/>
      <c r="V10" s="106" t="n"/>
      <c r="W10" s="106" t="n"/>
      <c r="X10" s="106" t="n"/>
      <c r="Y10" s="106" t="n"/>
      <c r="Z10" s="106" t="n"/>
      <c r="AA10" s="110" t="n"/>
    </row>
    <row r="11" ht="25.5" customHeight="1" s="104">
      <c r="A11" s="69" t="inlineStr">
        <is>
          <t>TCS ID</t>
        </is>
      </c>
      <c r="B11" s="69" t="inlineStr">
        <is>
          <t>Menu</t>
        </is>
      </c>
      <c r="C11" s="69" t="inlineStr">
        <is>
          <t>Submenu 1</t>
        </is>
      </c>
      <c r="D11" s="69" t="inlineStr">
        <is>
          <t>Submenu 2</t>
        </is>
      </c>
      <c r="E11" s="69" t="inlineStr">
        <is>
          <t>Test Case Scenario</t>
        </is>
      </c>
      <c r="F11" s="69" t="inlineStr">
        <is>
          <t>Test Step</t>
        </is>
      </c>
      <c r="G11" s="69" t="inlineStr">
        <is>
          <t>Expected Result</t>
        </is>
      </c>
      <c r="H11" s="70" t="inlineStr">
        <is>
          <t>Test Type</t>
        </is>
      </c>
      <c r="I11" s="71" t="inlineStr">
        <is>
          <t>User</t>
        </is>
      </c>
      <c r="J11" s="72" t="inlineStr">
        <is>
          <t>Time Testing</t>
        </is>
      </c>
      <c r="K11" s="73" t="inlineStr">
        <is>
          <t>Testing Status</t>
        </is>
      </c>
      <c r="L11" s="74" t="inlineStr">
        <is>
          <t>Updated At</t>
        </is>
      </c>
      <c r="M11" s="74" t="inlineStr">
        <is>
          <t>Testing By</t>
        </is>
      </c>
      <c r="N11" s="75" t="inlineStr">
        <is>
          <t>OK Evid.</t>
        </is>
      </c>
      <c r="O11" s="76" t="inlineStr">
        <is>
          <t>Issue Status</t>
        </is>
      </c>
      <c r="P11" s="77" t="inlineStr">
        <is>
          <t>Updated At</t>
        </is>
      </c>
      <c r="Q11" s="77" t="inlineStr">
        <is>
          <t>Scope</t>
        </is>
      </c>
      <c r="R11" s="77" t="inlineStr">
        <is>
          <t>Issue</t>
        </is>
      </c>
      <c r="S11" s="78" t="inlineStr">
        <is>
          <t>Developer Status</t>
        </is>
      </c>
      <c r="T11" s="79" t="inlineStr">
        <is>
          <t>Updated At</t>
        </is>
      </c>
      <c r="U11" s="79" t="inlineStr">
        <is>
          <t>PIC Now</t>
        </is>
      </c>
      <c r="V11" s="79" t="inlineStr">
        <is>
          <t>BE PIC</t>
        </is>
      </c>
      <c r="W11" s="79" t="inlineStr">
        <is>
          <t>FE PIC</t>
        </is>
      </c>
      <c r="X11" s="79" t="inlineStr">
        <is>
          <t>BE Target</t>
        </is>
      </c>
      <c r="Y11" s="79" t="inlineStr">
        <is>
          <t>FE Target</t>
        </is>
      </c>
      <c r="Z11" s="80" t="inlineStr">
        <is>
          <t>BE Notes</t>
        </is>
      </c>
      <c r="AA11" s="80" t="inlineStr">
        <is>
          <t>FE Notes</t>
        </is>
      </c>
      <c r="AB11" t="inlineStr">
        <is>
          <t>Actual Result</t>
        </is>
      </c>
      <c r="AC11" t="inlineStr">
        <is>
          <t>Steps Taken</t>
        </is>
      </c>
      <c r="AD11" t="inlineStr">
        <is>
          <t>Tokens Used</t>
        </is>
      </c>
      <c r="AE11" t="inlineStr">
        <is>
          <t>Stagnation Count</t>
        </is>
      </c>
    </row>
    <row r="12" ht="12.75" customHeight="1" s="104">
      <c r="A12" s="81" t="n">
        <v>1</v>
      </c>
      <c r="B12" s="82" t="inlineStr">
        <is>
          <t>Login</t>
        </is>
      </c>
      <c r="C12" s="83" t="n"/>
      <c r="D12" s="83" t="n"/>
      <c r="E12" s="83" t="n"/>
      <c r="F12" s="84">
        <f>IFERROR(__xludf.DUMMYFUNCTION("PERCENTIF($K13:$K14,$K$2)"),0)</f>
        <v/>
      </c>
      <c r="G12" s="83" t="n"/>
      <c r="H12" s="83" t="n"/>
      <c r="I12" s="85" t="n"/>
      <c r="J12" s="83">
        <f>IF(A12&lt;&gt;"", RANDBETWEEN(2, 15) &amp; " mins", "")</f>
        <v/>
      </c>
      <c r="K12" s="86" t="n"/>
      <c r="L12" s="87" t="n"/>
      <c r="M12" s="83" t="n"/>
      <c r="N12" s="83" t="n"/>
      <c r="O12" s="88" t="n"/>
      <c r="P12" s="89" t="n"/>
      <c r="Q12" s="83" t="n"/>
      <c r="R12" s="83" t="n"/>
      <c r="S12" s="86" t="n"/>
      <c r="T12" s="89" t="n"/>
      <c r="U12" s="83" t="n"/>
      <c r="V12" s="83" t="n"/>
      <c r="W12" s="83" t="n"/>
      <c r="X12" s="87" t="n"/>
      <c r="Y12" s="87" t="n"/>
      <c r="Z12" s="83" t="n"/>
      <c r="AA12" s="83" t="n"/>
    </row>
    <row r="13" ht="216.75" customHeight="1" s="104">
      <c r="A13" s="81" t="inlineStr">
        <is>
          <t>NOTE-001</t>
        </is>
      </c>
      <c r="B13" s="90" t="inlineStr">
        <is>
          <t>Xiaomi Notes</t>
        </is>
      </c>
      <c r="C13" s="90" t="inlineStr">
        <is>
          <t>-</t>
        </is>
      </c>
      <c r="D13" s="90" t="inlineStr">
        <is>
          <t>-</t>
        </is>
      </c>
      <c r="E13" s="90" t="inlineStr">
        <is>
          <t xml:space="preserve">Membuat catatan baru </t>
        </is>
      </c>
      <c r="F13" s="91" t="inlineStr">
        <is>
          <t>1. Pengguna membuka aplikasi Xiaomi Notes.
2. Pengguna klik tombol "+" (tambah) untuk membuat catatan baru.
3. Pengguna memasukkan judul: "Rencana Skripsi 2026".
4. Pengguna memasukkan isi catatan: "Selesaikan implementasi Multi-Agent Swarm untuk pengujian aplikasi Android."
5. Pengguna klik ikon kembali dan melihat di beranda apakah sudah tersimpan</t>
        </is>
      </c>
      <c r="G13" s="91" t="inlineStr">
        <is>
          <t>Catatan tersimpan dan terlihat di daftar utama dengan judul "Rencana Skripsi 2026".</t>
        </is>
      </c>
      <c r="H13" s="92" t="inlineStr">
        <is>
          <t>Pos.</t>
        </is>
      </c>
      <c r="I13" s="93" t="inlineStr">
        <is>
          <t>User</t>
        </is>
      </c>
      <c r="J13" s="92" t="inlineStr">
        <is>
          <t>3m 41s</t>
        </is>
      </c>
      <c r="K13" s="94" t="inlineStr">
        <is>
          <t>OK</t>
        </is>
      </c>
      <c r="L13" s="95" t="inlineStr">
        <is>
          <t>2026-06-13 11:06:45</t>
        </is>
      </c>
      <c r="M13" s="96" t="inlineStr">
        <is>
          <t>MAS AI (predefined)</t>
        </is>
      </c>
      <c r="N13" s="97" t="inlineStr">
        <is>
          <t>outputs\runs\predefined\2026-06-13\run_13\scenario_01</t>
        </is>
      </c>
      <c r="O13" s="98" t="inlineStr">
        <is>
          <t>OK</t>
        </is>
      </c>
      <c r="P13" s="99" t="n"/>
      <c r="Q13" s="100" t="n"/>
      <c r="R13" s="100" t="n"/>
      <c r="S13" s="101" t="n"/>
      <c r="T13" s="99" t="n"/>
      <c r="U13" s="100" t="n"/>
      <c r="V13" s="92" t="n"/>
      <c r="W13" s="100" t="n"/>
      <c r="X13" s="102" t="n"/>
      <c r="Y13" s="102" t="n"/>
      <c r="Z13" s="100" t="n"/>
      <c r="AA13" s="100" t="n"/>
      <c r="AB13" t="inlineStr">
        <is>
          <t>3-way verification completed. (1) Live app screenshot: the Xiaomi Notes main list screen is visible with title "Catatan", search bar "Cari catatan", category tabs, note cards, bottom navigation, and floating add button. The newly saved note appears as the first/top card with the exact title "Rencana Skripsi 2026" and a snippet matching the entered body text (truncated due to card width), indicating it has been saved and returned to the main list. There are no blocking dialogs, error messages, lo</t>
        </is>
      </c>
      <c r="AC13" t="n">
        <v>6</v>
      </c>
      <c r="AD13" t="n">
        <v>58337</v>
      </c>
      <c r="AE13" t="n">
        <v>0</v>
      </c>
    </row>
    <row r="14" ht="167.25" customHeight="1" s="104">
      <c r="A14" s="111" t="inlineStr">
        <is>
          <t>NOTE-002</t>
        </is>
      </c>
      <c r="B14" s="112" t="inlineStr">
        <is>
          <t>Xiaomi Notes</t>
        </is>
      </c>
      <c r="C14" s="112" t="inlineStr">
        <is>
          <t>-</t>
        </is>
      </c>
      <c r="D14" s="112" t="inlineStr">
        <is>
          <t>-</t>
        </is>
      </c>
      <c r="E14" s="113" t="inlineStr">
        <is>
          <t>Membuat Tugas Baru</t>
        </is>
      </c>
      <c r="F14" s="115" t="inlineStr">
        <is>
          <t>1. Pengguna klik tombol "tugas" pada menu navigasi bawah
2. Pengguna klik tombol "+" (tambah) untuk membuat tugas baru
3. Pengguna Memasukkan konten "Kerjain Skripsinya"
4. Pengguna klik teks "selesai" dan melihat di tampilan apakah sudah tersimpan</t>
        </is>
      </c>
      <c r="G14" s="91" t="inlineStr">
        <is>
          <t>Tugas tersimpan dan terlihat di daftar utama dengan konten "Kerjain Skripsinya".</t>
        </is>
      </c>
      <c r="H14" s="92" t="inlineStr">
        <is>
          <t>Pos.</t>
        </is>
      </c>
      <c r="I14" s="93" t="inlineStr">
        <is>
          <t>User</t>
        </is>
      </c>
      <c r="J14" s="116" t="inlineStr">
        <is>
          <t>2m 57s</t>
        </is>
      </c>
      <c r="K14" s="114" t="inlineStr">
        <is>
          <t>OK</t>
        </is>
      </c>
      <c r="L14" s="114" t="inlineStr">
        <is>
          <t>2026-06-13 11:10:10</t>
        </is>
      </c>
      <c r="M14" s="114" t="inlineStr">
        <is>
          <t>MAS AI (predefined)</t>
        </is>
      </c>
      <c r="N14" s="117" t="inlineStr">
        <is>
          <t>outputs\runs\predefined\2026-06-13\run_13\scenario_02</t>
        </is>
      </c>
      <c r="O14" s="114" t="inlineStr">
        <is>
          <t>OK</t>
        </is>
      </c>
      <c r="P14" s="114" t="n"/>
      <c r="Q14" s="114" t="n"/>
      <c r="R14" s="117" t="n"/>
      <c r="AB14" t="inlineStr">
        <is>
          <t>3-way verification completed. (1) Live app screenshot: The Xiaomi Notes Tasks page is visible with the title "Tugas", a single task card/list item containing the exact text "Kerjain Skripsinya", an unchecked checkbox on the left, the floating orange + add button, and bottom navigation with "Tugas" selected. There are no editor modals, keyboards, loading indicators, error dialogs, or unexpected overlays. (2) Ultimate expected result: The task is saved and visible in the main list with content "Ke</t>
        </is>
      </c>
      <c r="AC14" t="n">
        <v>5</v>
      </c>
      <c r="AD14" t="n">
        <v>46405</v>
      </c>
      <c r="AE14" t="n">
        <v>0</v>
      </c>
    </row>
  </sheetData>
  <mergeCells count="4">
    <mergeCell ref="A2:E2"/>
    <mergeCell ref="K10:N10"/>
    <mergeCell ref="O10:R10"/>
    <mergeCell ref="S10:AA10"/>
  </mergeCells>
  <hyperlinks>
    <hyperlink xmlns:r="http://schemas.openxmlformats.org/officeDocument/2006/relationships" ref="K1" r:id="rId1"/>
    <hyperlink xmlns:r="http://schemas.openxmlformats.org/officeDocument/2006/relationships" ref="O1" r:id="rId2"/>
    <hyperlink xmlns:r="http://schemas.openxmlformats.org/officeDocument/2006/relationships" ref="S1" r:id="rId3"/>
    <hyperlink ref="K10" location="null!B5:Q5" display="Testing Update"/>
    <hyperlink ref="O10" location="null!B25:O25" display="Issue Update"/>
    <hyperlink ref="S10" location="null!B36:S36" display="Developer Update"/>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raditya aryabudhi ramadhan</dc:creator>
  <dcterms:created xmlns:dcterms="http://purl.org/dc/terms/" xmlns:xsi="http://www.w3.org/2001/XMLSchema-instance" xsi:type="dcterms:W3CDTF">2026-04-22T04:39:38Z</dcterms:created>
  <dcterms:modified xmlns:dcterms="http://purl.org/dc/terms/" xmlns:xsi="http://www.w3.org/2001/XMLSchema-instance" xsi:type="dcterms:W3CDTF">2026-06-13T04:10:10Z</dcterms:modified>
  <cp:lastModifiedBy>raditya aryabudhi ramadhan</cp:lastModifiedBy>
</cp:coreProperties>
</file>