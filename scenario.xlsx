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adit\Project\VisualStudioProject\Skripsi\MAS AI\"/>
    </mc:Choice>
  </mc:AlternateContent>
  <xr:revisionPtr revIDLastSave="0" documentId="13_ncr:20001_{35F20649-B7B8-48AC-AA79-7B39B8ABF183}" xr6:coauthVersionLast="47" xr6:coauthVersionMax="47" xr10:uidLastSave="{00000000-0000-0000-0000-000000000000}"/>
  <bookViews>
    <workbookView xWindow="-120" yWindow="-120" windowWidth="29040" windowHeight="16440" xr2:uid="{00000000-000D-0000-FFFF-FFFF00000000}"/>
  </bookViews>
  <sheets>
    <sheet name="Sheet1" sheetId="1" r:id="rId1"/>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3" i="1" l="1"/>
  <c r="J12" i="1"/>
  <c r="F12" i="1"/>
  <c r="E10" i="1"/>
  <c r="W9" i="1"/>
  <c r="V9" i="1"/>
  <c r="T9" i="1"/>
  <c r="Q9" i="1"/>
  <c r="P9" i="1"/>
  <c r="W8" i="1"/>
  <c r="V8" i="1"/>
  <c r="T8" i="1"/>
  <c r="P8" i="1"/>
  <c r="Z7" i="1"/>
  <c r="W7" i="1"/>
  <c r="V7" i="1"/>
  <c r="T7" i="1"/>
  <c r="P7" i="1"/>
  <c r="L7" i="1"/>
  <c r="M7" i="1" s="1"/>
  <c r="Z6" i="1"/>
  <c r="W6" i="1"/>
  <c r="V6" i="1"/>
  <c r="T6" i="1"/>
  <c r="Q6" i="1"/>
  <c r="P6" i="1"/>
  <c r="L6" i="1"/>
  <c r="Z5" i="1"/>
  <c r="W5" i="1"/>
  <c r="V5" i="1"/>
  <c r="T5" i="1"/>
  <c r="Q5" i="1"/>
  <c r="P5" i="1"/>
  <c r="L5" i="1"/>
  <c r="Z4" i="1"/>
  <c r="W4" i="1"/>
  <c r="V4" i="1"/>
  <c r="T4" i="1"/>
  <c r="Q4" i="1"/>
  <c r="P4" i="1"/>
  <c r="L4" i="1"/>
  <c r="M4" i="1" s="1"/>
  <c r="W3" i="1"/>
  <c r="V3" i="1"/>
  <c r="T3" i="1"/>
  <c r="Q3" i="1"/>
  <c r="P3" i="1"/>
  <c r="P1" i="1" s="1"/>
  <c r="L3" i="1"/>
  <c r="W2" i="1"/>
  <c r="V2" i="1"/>
  <c r="T2" i="1"/>
  <c r="P2" i="1"/>
  <c r="L2" i="1"/>
  <c r="Q1" i="1" l="1"/>
  <c r="T1" i="1"/>
  <c r="U4" i="1" s="1"/>
  <c r="M2" i="1"/>
  <c r="L8" i="1"/>
  <c r="M8" i="1" s="1"/>
  <c r="M6" i="1"/>
  <c r="M3" i="1"/>
  <c r="M5" i="1"/>
  <c r="U6" i="1" l="1"/>
  <c r="U5" i="1"/>
  <c r="U7" i="1"/>
  <c r="U9" i="1"/>
  <c r="U3" i="1"/>
  <c r="U8" i="1"/>
  <c r="U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Y1" authorId="0" shapeId="0" xr:uid="{00000000-0006-0000-0000-000001000000}">
      <text>
        <r>
          <rPr>
            <sz val="10"/>
            <color rgb="FF000000"/>
            <rFont val="Arial"/>
            <scheme val="minor"/>
          </rPr>
          <t>Overdue: Total issue that doesn't reach the target date for each BE and FE.
Due today: Total issue due today for each BE and FE.
Unassigned PIC: Total issue that has not been assigned to the BE and FE Developer.
Last Target BE: The latest (furthest time) target for fixing the bug in the 'BE Target' Column. Formula: Max.
Last Target FE: The latest (furthest time) target for fixing the bug in the 'FE Target' Column. Formula: Max.</t>
        </r>
      </text>
    </comment>
    <comment ref="A11" authorId="0" shapeId="0" xr:uid="{00000000-0006-0000-0000-000002000000}">
      <text>
        <r>
          <rPr>
            <sz val="10"/>
            <color rgb="FF000000"/>
            <rFont val="Arial"/>
            <scheme val="minor"/>
          </rPr>
          <t>This TCS ID must be filled in for easy tracking or mention.
Use this format:
TCS-[Module Code]-[Sequence Number]
Example:
1. TCS-WEB-01-001
2. TCS-CMS-01-001</t>
        </r>
      </text>
    </comment>
    <comment ref="B11" authorId="0" shapeId="0" xr:uid="{00000000-0006-0000-0000-000003000000}">
      <text>
        <r>
          <rPr>
            <sz val="10"/>
            <color rgb="FF000000"/>
            <rFont val="Arial"/>
            <scheme val="minor"/>
          </rPr>
          <t>Fill this with the menu name of the level 1</t>
        </r>
      </text>
    </comment>
    <comment ref="C11" authorId="0" shapeId="0" xr:uid="{00000000-0006-0000-0000-000004000000}">
      <text>
        <r>
          <rPr>
            <sz val="10"/>
            <color rgb="FF000000"/>
            <rFont val="Arial"/>
            <scheme val="minor"/>
          </rPr>
          <t xml:space="preserve">Fill this with the menu name of the level 2.
If it only has level 1, fill it with (-) or minus sign. </t>
        </r>
      </text>
    </comment>
    <comment ref="D11" authorId="0" shapeId="0" xr:uid="{00000000-0006-0000-0000-000005000000}">
      <text>
        <r>
          <rPr>
            <sz val="10"/>
            <color rgb="FF000000"/>
            <rFont val="Arial"/>
            <scheme val="minor"/>
          </rPr>
          <t>Fill this with the menu name of the level 3.
If it only has levels 1-2, fill it with (-) or minus sign.
You can hide this column if all of the menus do not have level 3.</t>
        </r>
      </text>
    </comment>
    <comment ref="E11" authorId="0" shapeId="0" xr:uid="{00000000-0006-0000-0000-000006000000}">
      <text>
        <r>
          <rPr>
            <sz val="10"/>
            <color rgb="FF000000"/>
            <rFont val="Arial"/>
            <scheme val="minor"/>
          </rPr>
          <t>Use sentences with verb prefixes, (ex: "Melihat daftar user").
Write all possible testing scenarios (positive cases and negative cases).
Remember!! 
Testing is the process of executing a program with the intent of finding errors. 
When running TCS and you discover a new case, don't forget to write down that new case.</t>
        </r>
      </text>
    </comment>
    <comment ref="F11" authorId="0" shapeId="0" xr:uid="{00000000-0006-0000-0000-000007000000}">
      <text>
        <r>
          <rPr>
            <sz val="10"/>
            <color rgb="FF000000"/>
            <rFont val="Arial"/>
            <scheme val="minor"/>
          </rPr>
          <t>Write the test step in as much detail as possible to ease the process of running the test case scenario.</t>
        </r>
      </text>
    </comment>
    <comment ref="G11" authorId="0" shapeId="0" xr:uid="{00000000-0006-0000-0000-000008000000}">
      <text>
        <r>
          <rPr>
            <sz val="10"/>
            <color rgb="FF000000"/>
            <rFont val="Arial"/>
            <scheme val="minor"/>
          </rPr>
          <t>Write all the results that are expected when running the test case scenario.
Use numbering if the expected result is more than one.
Example:
1. Expected Result 1
2. Expected Result 2</t>
        </r>
      </text>
    </comment>
    <comment ref="H11" authorId="0" shapeId="0" xr:uid="{00000000-0006-0000-0000-000009000000}">
      <text>
        <r>
          <rPr>
            <sz val="10"/>
            <color rgb="FF000000"/>
            <rFont val="Arial"/>
            <scheme val="minor"/>
          </rPr>
          <t xml:space="preserve">TEST TYPE INFORMATION
Pos. : Positive Test Case, expected to function correctly (valid data)
Neg. : Negative Test Case, expected to fail (invalid or incorrect data) </t>
        </r>
      </text>
    </comment>
    <comment ref="I11" authorId="0" shapeId="0" xr:uid="{00000000-0006-0000-0000-00000A000000}">
      <text>
        <r>
          <rPr>
            <sz val="10"/>
            <color rgb="FF000000"/>
            <rFont val="Arial"/>
            <scheme val="minor"/>
          </rPr>
          <t>Write the user role who will run the test case scenario</t>
        </r>
      </text>
    </comment>
    <comment ref="K11" authorId="0" shapeId="0" xr:uid="{00000000-0006-0000-0000-00000B000000}">
      <text>
        <r>
          <rPr>
            <sz val="10"/>
            <color rgb="FF000000"/>
            <rFont val="Arial"/>
            <scheme val="minor"/>
          </rPr>
          <t>Define the testing status with the latest. See the status flow in cell J1.
[STATUS INFORMATION]
1. OK: No issue or all issues have been fixed and checked (OK).
2. MINOR: All issues in the 'Issue Update' section are MINOR.
3. NOT OK: There is a CRITICAL or MAJOR issue in the 'Issue Update' section.
4. HOLD: Testing is postponed because something needs to be confirmed.
5. READY FOR TEST: Testing for the TCS needs to be run.
6. NOT RUN: TCS-related features have not been developed, and testing can't be run.</t>
        </r>
      </text>
    </comment>
    <comment ref="L11" authorId="0" shapeId="0" xr:uid="{00000000-0006-0000-0000-00000C000000}">
      <text>
        <r>
          <rPr>
            <sz val="10"/>
            <color rgb="FF000000"/>
            <rFont val="Arial"/>
            <scheme val="minor"/>
          </rPr>
          <t>Each time the status is updated, this 'Updated At' date should be updated
Format date: 
Day, DD Mon (Ex: Mon, 29 Apr)
Use the keyboard shortcut CTRL/CMD + ; 
to fill the cell with today's date</t>
        </r>
      </text>
    </comment>
    <comment ref="M11" authorId="0" shapeId="0" xr:uid="{00000000-0006-0000-0000-00000D000000}">
      <text>
        <r>
          <rPr>
            <sz val="10"/>
            <color rgb="FF000000"/>
            <rFont val="Arial"/>
            <scheme val="minor"/>
          </rPr>
          <t>Fill this column with the analyst name who is in charge/testing the scenario
Adjust the analyst name or add a new PIC in the 'Summary' Sheet &gt; 'Functional Testing' Section &gt; 'Testing Update - Analyst' Table</t>
        </r>
      </text>
    </comment>
    <comment ref="N11" authorId="0" shapeId="0" xr:uid="{00000000-0006-0000-0000-00000E000000}">
      <text>
        <r>
          <rPr>
            <sz val="10"/>
            <color rgb="FF000000"/>
            <rFont val="Arial"/>
            <scheme val="minor"/>
          </rPr>
          <t>Fill this column with test evidence for the related scenario (image screenshot link or screen recording link).
It would be beneficial if the Main PIC were not responsible (being helped) for the testing. It can be confirmed that the test meets the expected results based on this OK Evidence.
This OK Evidence can be adjusted to the number of expected results. If the expected results are more than one, it can be written like this:
1. here
2. here
3. here</t>
        </r>
      </text>
    </comment>
    <comment ref="O11" authorId="0" shapeId="0" xr:uid="{00000000-0006-0000-0000-00000F000000}">
      <text>
        <r>
          <rPr>
            <sz val="10"/>
            <color rgb="FF000000"/>
            <rFont val="Arial"/>
            <scheme val="minor"/>
          </rPr>
          <t>Define the issue status with the latest. See the status flow in cell N1.
[STATUS INFORMATION]
1. OK: The issue has been fixed (DONE) by the developer and checked (meets the expectation) by the analyst.
2. MINOR: The issue is not related to the main functionality or component. Example: 'nice to have' features, user behavior, wording, etc.
3. MAJOR: The issue related to the main functionality or component. But it is NOT A BLOCKER to other functions.
4. CRITICAL: The issue related to the main functionality or component. And A BLOCKER for other functions.
5. HOLD: The issue is postponed because something needs to be confirmed.
6. Not Issue: Not an issue after some rechecking and discussion.
7. OK-moved: The issue is moved to Issue Tracker for easier tracking (due to unusual project flow).
8. Unassigned: The issue should be assigned with the updated status.
[BACKGROUND COLOR]
- The cell will be filled with dark gray if the developer status is DONE. This means it is ready for a test.
- The cell will be filled with light cyan if the developer status is HOLD. This means it needs to be confirmed with the developer asap.
- The cell will be filled with cyan if the developer status is Done but the Issue Status is HOLD. This means it needs to be confirmed with the client asap.
!! Don't forget that after testing and changing the testing status to OK, then look at the developer status. If it is still ISSUED then change it to DONE.</t>
        </r>
      </text>
    </comment>
    <comment ref="P11" authorId="0" shapeId="0" xr:uid="{00000000-0006-0000-0000-000010000000}">
      <text>
        <r>
          <rPr>
            <sz val="10"/>
            <color rgb="FF000000"/>
            <rFont val="Arial"/>
            <scheme val="minor"/>
          </rPr>
          <t>Each time the status is updated, this 'Updated At' date time should be updated
Format date: 
Day, DD Mon /HH:MM (Ex: Mon, 29 Apr / 12:12)
Use the keyboard shortcut CTRL/CMD + ALT/OPT + SHIFT + ; 
to fill the cell with today's date time</t>
        </r>
      </text>
    </comment>
    <comment ref="Q11" authorId="0" shapeId="0" xr:uid="{00000000-0006-0000-0000-000011000000}">
      <text>
        <r>
          <rPr>
            <sz val="10"/>
            <color rgb="FF000000"/>
            <rFont val="Arial"/>
            <scheme val="minor"/>
          </rPr>
          <t>Define the issue scope based on the PIC who will fix it.
[SCOPE INFORMATION]
1. BE: Backend Developer
2. FE: Frontend Developer
3. BE - FE: BE needs to fix it first then FE fixes it
4. FE - BE: FE needs to fix it first then BE fixes it</t>
        </r>
      </text>
    </comment>
    <comment ref="R11" authorId="0" shapeId="0" xr:uid="{00000000-0006-0000-0000-000012000000}">
      <text>
        <r>
          <rPr>
            <sz val="10"/>
            <color rgb="FF000000"/>
            <rFont val="Arial"/>
            <scheme val="minor"/>
          </rPr>
          <t xml:space="preserve">WRITING ISSUE GUIDELINE
A. An issue is written in one row, if there is more than one issue you can insert a new row under the related TCS.
B. Using the 'Insert link' feature, you can provide an issue screenshot link for clarity. Example:
1. Issue 1. Check [here]
C. If the issue happens on the mobile device, add the description (Mobile). If the issue is specific to a mobile OS, add a description (Mobile - OS). Example:
1. (Mobile) Issue1
2. (Mobile - iOS) Issue2
D. After writing the issue, add the "Issued" status to the developer status and complete the other information in the 'Developer Update' section according to the issue.
E. Can use the 'Comment' feature to mention the developers directly. </t>
        </r>
      </text>
    </comment>
    <comment ref="S11" authorId="0" shapeId="0" xr:uid="{00000000-0006-0000-0000-000013000000}">
      <text>
        <r>
          <rPr>
            <sz val="10"/>
            <color rgb="FF000000"/>
            <rFont val="Arial"/>
            <scheme val="minor"/>
          </rPr>
          <t>Define the developer status with the latest. See the status flow in cell R1.
[STATUS INFORMATION]
1. Issued: The issue needs to be fixed.
2. On Progress: The issue is being fixed.
3. Local Done: The issue has been fixed but is still in the developer's local environment.
4. On Review: The issue is being reviewed by the developer's supervisor.
5. BE Done Next FE: The BE-FE scope issue has been done by the BE developer, and then needs to be fixed by the FE developer.
6. FE Done Next BE: The FE-BE scope issue has been done by the FE developer, and then needs to be fixed by the BE developer.
7. Done: The issue has been fixed and has been implemented by the final PIC.
8. Hold: The issue is postponed because something needs to be confirmed.</t>
        </r>
      </text>
    </comment>
    <comment ref="T11" authorId="0" shapeId="0" xr:uid="{00000000-0006-0000-0000-000014000000}">
      <text>
        <r>
          <rPr>
            <sz val="10"/>
            <color rgb="FF000000"/>
            <rFont val="Arial"/>
            <scheme val="minor"/>
          </rPr>
          <t>Each time the status is updated, this 'Updated At' date time should be updated
Format date: 
Day, DD Mon /HH:MM (Ex: Mon, 29 Apr / 12:12)
Use the keyboard shortcut CTRL/CMD + ALT/OPT + SHIFT + ; 
to fill the cell with today's date time</t>
        </r>
      </text>
    </comment>
    <comment ref="U11" authorId="0" shapeId="0" xr:uid="{00000000-0006-0000-0000-000015000000}">
      <text>
        <r>
          <rPr>
            <sz val="10"/>
            <color rgb="FF000000"/>
            <rFont val="Arial"/>
            <scheme val="minor"/>
          </rPr>
          <t>Define the current PIC who should/is fixing the issue.
1. BE: Backend Developer
2. FE: Frontend Developer</t>
        </r>
      </text>
    </comment>
    <comment ref="V11" authorId="0" shapeId="0" xr:uid="{00000000-0006-0000-0000-000016000000}">
      <text>
        <r>
          <rPr>
            <sz val="10"/>
            <color rgb="FF000000"/>
            <rFont val="Arial"/>
            <scheme val="minor"/>
          </rPr>
          <t>Assign the BE Developer name who should fix the issue.
Adjust the BE Developer name or add a new PIC in the 'Summary' Sheet &gt; 'Functional Testing' Section &gt; 'Developer Update' Section.
If the BE Developer name is marked in BOLD BLUE, the developer is the current PIC (PIC Now).</t>
        </r>
      </text>
    </comment>
    <comment ref="W11" authorId="0" shapeId="0" xr:uid="{00000000-0006-0000-0000-000017000000}">
      <text>
        <r>
          <rPr>
            <sz val="10"/>
            <color rgb="FF000000"/>
            <rFont val="Arial"/>
            <scheme val="minor"/>
          </rPr>
          <t>Assign the FE Developer name who should fix the issue (If this Module is for CMS, just hide this column).
Adjust the FE Developer name or add a new PIC in the 'Summary' Sheet &gt; 'Functional Testing' Section &gt; 'Developer Update' Section.
If the FE Developer name is marked in BOLD RED, the developer is the current PIC (PIC Now).</t>
        </r>
      </text>
    </comment>
    <comment ref="X11" authorId="0" shapeId="0" xr:uid="{00000000-0006-0000-0000-000018000000}">
      <text>
        <r>
          <rPr>
            <sz val="10"/>
            <color rgb="FF000000"/>
            <rFont val="Arial"/>
            <scheme val="minor"/>
          </rPr>
          <t>Define the Backend Development target for fixing the issue. BE must be committed to the target.
If the target is due today, the date will be marked in BOLD GREEN.
If the target is overdue, the date will be marked in BOLD RED. This should be noted by the developer to immediately fix it or update the target.</t>
        </r>
      </text>
    </comment>
    <comment ref="Y11" authorId="0" shapeId="0" xr:uid="{00000000-0006-0000-0000-000019000000}">
      <text>
        <r>
          <rPr>
            <sz val="10"/>
            <color rgb="FF000000"/>
            <rFont val="Arial"/>
            <scheme val="minor"/>
          </rPr>
          <t>Define the Frontend Development target for fixing the issue.
FE must be committed to the target.</t>
        </r>
      </text>
    </comment>
    <comment ref="Z11" authorId="0" shapeId="0" xr:uid="{00000000-0006-0000-0000-00001A000000}">
      <text>
        <r>
          <rPr>
            <sz val="10"/>
            <color rgb="FF000000"/>
            <rFont val="Arial"/>
            <scheme val="minor"/>
          </rPr>
          <t>BE Developer can write additional information regarding the issue in this column</t>
        </r>
      </text>
    </comment>
    <comment ref="AA11" authorId="0" shapeId="0" xr:uid="{00000000-0006-0000-0000-00001B000000}">
      <text>
        <r>
          <rPr>
            <sz val="10"/>
            <color rgb="FF000000"/>
            <rFont val="Arial"/>
            <scheme val="minor"/>
          </rPr>
          <t>FE Developer can write additional information regarding the issue in this column</t>
        </r>
      </text>
    </comment>
  </commentList>
</comments>
</file>

<file path=xl/sharedStrings.xml><?xml version="1.0" encoding="utf-8"?>
<sst xmlns="http://schemas.openxmlformats.org/spreadsheetml/2006/main" count="103" uniqueCount="89">
  <si>
    <t>Account Credential:</t>
  </si>
  <si>
    <t>Testing</t>
  </si>
  <si>
    <t>Total</t>
  </si>
  <si>
    <t>%</t>
  </si>
  <si>
    <t>Issue</t>
  </si>
  <si>
    <t>Bug Fixing</t>
  </si>
  <si>
    <t>BE</t>
  </si>
  <si>
    <t>FE</t>
  </si>
  <si>
    <t>Others</t>
  </si>
  <si>
    <t>BE , FE</t>
  </si>
  <si>
    <t>mandatory (if any)</t>
  </si>
  <si>
    <t>OK</t>
  </si>
  <si>
    <t>-</t>
  </si>
  <si>
    <t>Issued</t>
  </si>
  <si>
    <t>Overdue</t>
  </si>
  <si>
    <r>
      <rPr>
        <b/>
        <sz val="7"/>
        <color theme="1"/>
        <rFont val="Proxima Nova"/>
      </rPr>
      <t>👤</t>
    </r>
    <r>
      <rPr>
        <b/>
        <sz val="10"/>
        <color theme="1"/>
        <rFont val="Proxima Nova"/>
      </rPr>
      <t xml:space="preserve"> Users</t>
    </r>
  </si>
  <si>
    <t>Publik &amp; Pembeli</t>
  </si>
  <si>
    <r>
      <rPr>
        <b/>
        <sz val="7"/>
        <color theme="1"/>
        <rFont val="Proxima Nova"/>
      </rPr>
      <t xml:space="preserve">⚠️  </t>
    </r>
    <r>
      <rPr>
        <b/>
        <sz val="10"/>
        <color theme="1"/>
        <rFont val="Proxima Nova"/>
      </rPr>
      <t>Legend</t>
    </r>
  </si>
  <si>
    <t>MINOR</t>
  </si>
  <si>
    <t>On Progress</t>
  </si>
  <si>
    <t>Due Today</t>
  </si>
  <si>
    <r>
      <rPr>
        <b/>
        <sz val="7"/>
        <color theme="1"/>
        <rFont val="Proxima Nova"/>
      </rPr>
      <t>🔗</t>
    </r>
    <r>
      <rPr>
        <b/>
        <sz val="10"/>
        <color theme="1"/>
        <rFont val="Proxima Nova"/>
      </rPr>
      <t xml:space="preserve"> Design</t>
    </r>
  </si>
  <si>
    <r>
      <rPr>
        <sz val="10"/>
        <color theme="1"/>
        <rFont val="Proxima Nova"/>
      </rPr>
      <t>:</t>
    </r>
    <r>
      <rPr>
        <sz val="10"/>
        <color rgb="FF0000FF"/>
        <rFont val="Proxima Nova"/>
      </rPr>
      <t xml:space="preserve"> </t>
    </r>
    <r>
      <rPr>
        <i/>
        <sz val="10"/>
        <color rgb="FF0000FF"/>
        <rFont val="Proxima Nova"/>
      </rPr>
      <t>put the link</t>
    </r>
  </si>
  <si>
    <t>Example</t>
  </si>
  <si>
    <t>NOT OK</t>
  </si>
  <si>
    <t>MAJOR</t>
  </si>
  <si>
    <t>Local Done</t>
  </si>
  <si>
    <t>Unassigned PIC</t>
  </si>
  <si>
    <r>
      <rPr>
        <b/>
        <sz val="7"/>
        <color theme="1"/>
        <rFont val="Proxima Nova"/>
      </rPr>
      <t xml:space="preserve">🔗 </t>
    </r>
    <r>
      <rPr>
        <b/>
        <sz val="10"/>
        <color theme="1"/>
        <rFont val="Proxima Nova"/>
      </rPr>
      <t>FE</t>
    </r>
  </si>
  <si>
    <r>
      <rPr>
        <sz val="10"/>
        <color theme="1"/>
        <rFont val="Proxima Nova"/>
      </rPr>
      <t>:</t>
    </r>
    <r>
      <rPr>
        <sz val="10"/>
        <color rgb="FF0000FF"/>
        <rFont val="Proxima Nova"/>
      </rPr>
      <t xml:space="preserve"> </t>
    </r>
    <r>
      <rPr>
        <i/>
        <sz val="10"/>
        <color rgb="FF0000FF"/>
        <rFont val="Proxima Nova"/>
      </rPr>
      <t>put the link</t>
    </r>
  </si>
  <si>
    <t>Priority</t>
  </si>
  <si>
    <t>HOLD</t>
  </si>
  <si>
    <t>CRITICAL</t>
  </si>
  <si>
    <t>On Review</t>
  </si>
  <si>
    <t>Last Target BE</t>
  </si>
  <si>
    <r>
      <rPr>
        <b/>
        <sz val="7"/>
        <color theme="1"/>
        <rFont val="Proxima Nova"/>
      </rPr>
      <t>🔗</t>
    </r>
    <r>
      <rPr>
        <b/>
        <sz val="10"/>
        <color theme="1"/>
        <rFont val="Proxima Nova"/>
      </rPr>
      <t xml:space="preserve"> Staging</t>
    </r>
  </si>
  <si>
    <r>
      <rPr>
        <sz val="10"/>
        <color theme="1"/>
        <rFont val="Proxima Nova"/>
      </rPr>
      <t>:</t>
    </r>
    <r>
      <rPr>
        <sz val="10"/>
        <color rgb="FF0000FF"/>
        <rFont val="Proxima Nova"/>
      </rPr>
      <t xml:space="preserve"> </t>
    </r>
    <r>
      <rPr>
        <i/>
        <sz val="10"/>
        <color rgb="FF0000FF"/>
        <rFont val="Proxima Nova"/>
      </rPr>
      <t>put the link</t>
    </r>
  </si>
  <si>
    <t>Need for Clarification</t>
  </si>
  <si>
    <t>READY FOR TEST</t>
  </si>
  <si>
    <t>BE Done Next FE</t>
  </si>
  <si>
    <t>Last Target FE</t>
  </si>
  <si>
    <t>Just Added</t>
  </si>
  <si>
    <t>NOT RUN</t>
  </si>
  <si>
    <t>Not Issue</t>
  </si>
  <si>
    <t>FE Done Next BE</t>
  </si>
  <si>
    <t>Today</t>
  </si>
  <si>
    <t>Takeout</t>
  </si>
  <si>
    <t>Total Run</t>
  </si>
  <si>
    <t>OK-moved</t>
  </si>
  <si>
    <t>Done</t>
  </si>
  <si>
    <t>Unassigned</t>
  </si>
  <si>
    <t>Hold</t>
  </si>
  <si>
    <t>Scenario Total</t>
  </si>
  <si>
    <t>Testing Update</t>
  </si>
  <si>
    <t>Issue Update</t>
  </si>
  <si>
    <t>Developer Update</t>
  </si>
  <si>
    <t>TCS ID</t>
  </si>
  <si>
    <t>Menu</t>
  </si>
  <si>
    <t>Submenu 1</t>
  </si>
  <si>
    <t>Submenu 2</t>
  </si>
  <si>
    <t>Test Case Scenario</t>
  </si>
  <si>
    <t>Test Step</t>
  </si>
  <si>
    <t>Expected Result</t>
  </si>
  <si>
    <t>Test Type</t>
  </si>
  <si>
    <t>User</t>
  </si>
  <si>
    <t>Time Testing</t>
  </si>
  <si>
    <t>Testing Status</t>
  </si>
  <si>
    <t>Updated At</t>
  </si>
  <si>
    <t>Testing By</t>
  </si>
  <si>
    <t>OK Evid.</t>
  </si>
  <si>
    <t>Issue Status</t>
  </si>
  <si>
    <t>Scope</t>
  </si>
  <si>
    <t>Developer Status</t>
  </si>
  <si>
    <t>PIC Now</t>
  </si>
  <si>
    <t>BE PIC</t>
  </si>
  <si>
    <t>FE PIC</t>
  </si>
  <si>
    <t>BE Target</t>
  </si>
  <si>
    <t>FE Target</t>
  </si>
  <si>
    <t>BE Notes</t>
  </si>
  <si>
    <t>FE Notes</t>
  </si>
  <si>
    <t>Login</t>
  </si>
  <si>
    <t>Pos.</t>
  </si>
  <si>
    <t>0 , 0</t>
  </si>
  <si>
    <t>Notes Apps</t>
  </si>
  <si>
    <t>NOTE-001</t>
  </si>
  <si>
    <t>Xiaomi Notes</t>
  </si>
  <si>
    <t xml:space="preserve">Membuat catatan baru </t>
  </si>
  <si>
    <t>1. Pengguna membuka aplikasi Xiaomi Notes.
2. Pengguna klik tombol "+" (tambah) untuk membuat catatan baru.
3. Pengguna memasukkan judul: "Rencana Skripsi 2026".
4. Pengguna memasukkan isi catatan: "Selesaikan implementasi Multi-Agent Swarm untuk pengujian aplikasi Android."
5. Pengguna klik ikon kembali dan melihat di beranda apakah sudah tersimpan</t>
  </si>
  <si>
    <t>Catatan tersimpan dan terlihat di daftar utama dengan judul "Rencana Skripsi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</si>
</sst>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quot;, &quot;dd&quot; &quot;mmm"/>
    <numFmt numFmtId="165" formatCode="ddd&quot;, &quot;dd&quot; &quot;mmm&quot; / &quot;hh&quot;:&quot;mm"/>
  </numFmts>
  <fonts count="21">
    <font>
      <sz val="10"/>
      <color rgb="FF000000"/>
      <name val="Arial"/>
      <scheme val="minor"/>
    </font>
    <font>
      <b/>
      <sz val="10"/>
      <color theme="1"/>
      <name val="Proxima Nova"/>
    </font>
    <font>
      <sz val="10"/>
      <color theme="1"/>
      <name val="Arial"/>
    </font>
    <font>
      <b/>
      <u/>
      <sz val="10"/>
      <color rgb="FF1155CC"/>
      <name val="Proxima Nova"/>
    </font>
    <font>
      <b/>
      <u/>
      <sz val="10"/>
      <color rgb="FF1155CC"/>
      <name val="Proxima Nova"/>
    </font>
    <font>
      <b/>
      <u/>
      <sz val="10"/>
      <color rgb="FFFF0000"/>
      <name val="Proxima Nova"/>
    </font>
    <font>
      <b/>
      <i/>
      <sz val="10"/>
      <color rgb="FF0000FF"/>
      <name val="Proxima Nova"/>
    </font>
    <font>
      <sz val="10"/>
      <color theme="1"/>
      <name val="Proxima Nova"/>
    </font>
    <font>
      <b/>
      <sz val="10"/>
      <color rgb="FF980000"/>
      <name val="Proxima Nova"/>
    </font>
    <font>
      <b/>
      <sz val="10"/>
      <color rgb="FF274E13"/>
      <name val="Proxima Nova"/>
    </font>
    <font>
      <b/>
      <sz val="10"/>
      <color rgb="FFFFFFFF"/>
      <name val="Proxima Nova"/>
    </font>
    <font>
      <b/>
      <sz val="10"/>
      <color rgb="FF4285F4"/>
      <name val="Proxima Nova"/>
    </font>
    <font>
      <b/>
      <sz val="10"/>
      <color rgb="FFEA4335"/>
      <name val="Proxima Nova"/>
    </font>
    <font>
      <b/>
      <u/>
      <sz val="10"/>
      <color rgb="FF1155CC"/>
      <name val="Proxima Nova"/>
    </font>
    <font>
      <sz val="10"/>
      <name val="Arial"/>
    </font>
    <font>
      <b/>
      <u/>
      <sz val="10"/>
      <color rgb="FF1155CC"/>
      <name val="Proxima Nova"/>
    </font>
    <font>
      <b/>
      <u/>
      <sz val="10"/>
      <color rgb="FF1155CC"/>
      <name val="Proxima Nova"/>
    </font>
    <font>
      <u/>
      <sz val="10"/>
      <color rgb="FF1155CC"/>
      <name val="Proxima Nova"/>
    </font>
    <font>
      <b/>
      <sz val="7"/>
      <color theme="1"/>
      <name val="Proxima Nova"/>
    </font>
    <font>
      <sz val="10"/>
      <color rgb="FF0000FF"/>
      <name val="Proxima Nova"/>
    </font>
    <font>
      <i/>
      <sz val="10"/>
      <color rgb="FF0000FF"/>
      <name val="Proxima Nova"/>
    </font>
  </fonts>
  <fills count="22">
    <fill>
      <patternFill patternType="none"/>
    </fill>
    <fill>
      <patternFill patternType="gray125"/>
    </fill>
    <fill>
      <patternFill patternType="solid">
        <fgColor rgb="FFFF9900"/>
        <bgColor rgb="FFFF9900"/>
      </patternFill>
    </fill>
    <fill>
      <patternFill patternType="solid">
        <fgColor rgb="FF999999"/>
        <bgColor rgb="FF999999"/>
      </patternFill>
    </fill>
    <fill>
      <patternFill patternType="solid">
        <fgColor rgb="FFB6D7A8"/>
        <bgColor rgb="FFB6D7A8"/>
      </patternFill>
    </fill>
    <fill>
      <patternFill patternType="solid">
        <fgColor rgb="FFEA9999"/>
        <bgColor rgb="FFEA9999"/>
      </patternFill>
    </fill>
    <fill>
      <patternFill patternType="solid">
        <fgColor rgb="FFF4CCCC"/>
        <bgColor rgb="FFF4CCCC"/>
      </patternFill>
    </fill>
    <fill>
      <patternFill patternType="solid">
        <fgColor rgb="FFFFE599"/>
        <bgColor rgb="FFFFE599"/>
      </patternFill>
    </fill>
    <fill>
      <patternFill patternType="solid">
        <fgColor rgb="FFD9EAD3"/>
        <bgColor rgb="FFD9EAD3"/>
      </patternFill>
    </fill>
    <fill>
      <patternFill patternType="solid">
        <fgColor rgb="FFFFFF00"/>
        <bgColor rgb="FFFFFF00"/>
      </patternFill>
    </fill>
    <fill>
      <patternFill patternType="solid">
        <fgColor rgb="FFF9CB9C"/>
        <bgColor rgb="FFF9CB9C"/>
      </patternFill>
    </fill>
    <fill>
      <patternFill patternType="solid">
        <fgColor rgb="FF00FF00"/>
        <bgColor rgb="FF00FF00"/>
      </patternFill>
    </fill>
    <fill>
      <patternFill patternType="solid">
        <fgColor rgb="FFA2C4C9"/>
        <bgColor rgb="FFA2C4C9"/>
      </patternFill>
    </fill>
    <fill>
      <patternFill patternType="solid">
        <fgColor rgb="FF980000"/>
        <bgColor rgb="FF980000"/>
      </patternFill>
    </fill>
    <fill>
      <patternFill patternType="solid">
        <fgColor rgb="FFB4A7D6"/>
        <bgColor rgb="FFB4A7D6"/>
      </patternFill>
    </fill>
    <fill>
      <patternFill patternType="solid">
        <fgColor rgb="FFFFFFFF"/>
        <bgColor rgb="FFFFFFFF"/>
      </patternFill>
    </fill>
    <fill>
      <patternFill patternType="solid">
        <fgColor rgb="FFCFE2F3"/>
        <bgColor rgb="FFCFE2F3"/>
      </patternFill>
    </fill>
    <fill>
      <patternFill patternType="solid">
        <fgColor rgb="FFFF0000"/>
        <bgColor rgb="FFFF0000"/>
      </patternFill>
    </fill>
    <fill>
      <patternFill patternType="solid">
        <fgColor rgb="FFCCCCCC"/>
        <bgColor rgb="FFCCCCCC"/>
      </patternFill>
    </fill>
    <fill>
      <patternFill patternType="solid">
        <fgColor rgb="FFF6B26B"/>
        <bgColor rgb="FFF6B26B"/>
      </patternFill>
    </fill>
    <fill>
      <patternFill patternType="solid">
        <fgColor rgb="FFFFD966"/>
        <bgColor rgb="FFFFD966"/>
      </patternFill>
    </fill>
    <fill>
      <patternFill patternType="solid">
        <fgColor rgb="FF93C47D"/>
        <bgColor rgb="FF93C47D"/>
      </patternFill>
    </fill>
  </fills>
  <borders count="14">
    <border>
      <left/>
      <right/>
      <top/>
      <bottom/>
      <diagonal/>
    </border>
    <border>
      <left/>
      <right style="medium">
        <color rgb="FF000000"/>
      </right>
      <top/>
      <bottom/>
      <diagonal/>
    </border>
    <border>
      <left style="medium">
        <color rgb="FF000000"/>
      </left>
      <right/>
      <top/>
      <bottom/>
      <diagonal/>
    </border>
    <border>
      <left style="double">
        <color rgb="FF000000"/>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style="double">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s>
  <cellStyleXfs count="1">
    <xf numFmtId="0" fontId="0" fillId="0" borderId="0"/>
  </cellStyleXfs>
  <cellXfs count="111">
    <xf numFmtId="0" fontId="0" fillId="0" borderId="0" xfId="0"/>
    <xf numFmtId="0" fontId="1" fillId="0" borderId="0" xfId="0" applyFont="1" applyAlignment="1">
      <alignment vertical="top"/>
    </xf>
    <xf numFmtId="0" fontId="2" fillId="0" borderId="0" xfId="0" applyFont="1" applyAlignment="1">
      <alignment vertical="top"/>
    </xf>
    <xf numFmtId="0" fontId="2" fillId="0" borderId="1" xfId="0" applyFont="1" applyBorder="1" applyAlignment="1">
      <alignment vertical="top"/>
    </xf>
    <xf numFmtId="0" fontId="3" fillId="2" borderId="2" xfId="0" applyFont="1" applyFill="1" applyBorder="1" applyAlignment="1">
      <alignment vertical="top"/>
    </xf>
    <xf numFmtId="3" fontId="1" fillId="2" borderId="0" xfId="0" applyNumberFormat="1" applyFont="1" applyFill="1" applyAlignment="1">
      <alignment horizontal="center"/>
    </xf>
    <xf numFmtId="3" fontId="1" fillId="2" borderId="0" xfId="0" applyNumberFormat="1" applyFont="1" applyFill="1" applyAlignment="1">
      <alignment horizontal="right"/>
    </xf>
    <xf numFmtId="10" fontId="2" fillId="0" borderId="0" xfId="0" applyNumberFormat="1" applyFont="1" applyAlignment="1">
      <alignment vertical="top"/>
    </xf>
    <xf numFmtId="0" fontId="4" fillId="2" borderId="3" xfId="0" applyFont="1" applyFill="1" applyBorder="1" applyAlignment="1">
      <alignment vertical="top"/>
    </xf>
    <xf numFmtId="3" fontId="1" fillId="2" borderId="0" xfId="0" applyNumberFormat="1" applyFont="1" applyFill="1" applyAlignment="1">
      <alignment horizontal="center" wrapText="1"/>
    </xf>
    <xf numFmtId="3" fontId="1" fillId="3" borderId="0" xfId="0" applyNumberFormat="1" applyFont="1" applyFill="1" applyAlignment="1">
      <alignment horizontal="center"/>
    </xf>
    <xf numFmtId="0" fontId="2" fillId="0" borderId="0" xfId="0" applyFont="1"/>
    <xf numFmtId="0" fontId="1" fillId="2" borderId="0" xfId="0" applyFont="1" applyFill="1" applyAlignment="1">
      <alignment horizontal="center" vertical="top"/>
    </xf>
    <xf numFmtId="0" fontId="1" fillId="2" borderId="0" xfId="0" applyFont="1" applyFill="1" applyAlignment="1">
      <alignment horizontal="right" vertical="top"/>
    </xf>
    <xf numFmtId="0" fontId="1" fillId="2" borderId="0" xfId="0" applyFont="1" applyFill="1" applyAlignment="1">
      <alignment vertical="top"/>
    </xf>
    <xf numFmtId="0" fontId="6" fillId="0" borderId="0" xfId="0" applyFont="1" applyAlignment="1">
      <alignment vertical="top"/>
    </xf>
    <xf numFmtId="0" fontId="1" fillId="4" borderId="2" xfId="0" applyFont="1" applyFill="1" applyBorder="1" applyAlignment="1">
      <alignment vertical="top"/>
    </xf>
    <xf numFmtId="49" fontId="1" fillId="0" borderId="0" xfId="0" applyNumberFormat="1" applyFont="1" applyAlignment="1">
      <alignment horizontal="center" vertical="top"/>
    </xf>
    <xf numFmtId="10" fontId="1" fillId="0" borderId="0" xfId="0" applyNumberFormat="1" applyFont="1" applyAlignment="1">
      <alignment horizontal="right" vertical="top"/>
    </xf>
    <xf numFmtId="0" fontId="1" fillId="4" borderId="3" xfId="0" applyFont="1" applyFill="1" applyBorder="1" applyAlignment="1">
      <alignment vertical="top"/>
    </xf>
    <xf numFmtId="3" fontId="1" fillId="0" borderId="0" xfId="0" applyNumberFormat="1" applyFont="1" applyAlignment="1">
      <alignment horizontal="center" vertical="top" wrapText="1"/>
    </xf>
    <xf numFmtId="49" fontId="7" fillId="0" borderId="0" xfId="0" applyNumberFormat="1" applyFont="1" applyAlignment="1">
      <alignment horizontal="center"/>
    </xf>
    <xf numFmtId="0" fontId="1" fillId="5" borderId="2" xfId="0" applyFont="1" applyFill="1" applyBorder="1" applyAlignment="1">
      <alignment vertical="top"/>
    </xf>
    <xf numFmtId="0" fontId="7" fillId="0" borderId="0" xfId="0" applyFont="1" applyAlignment="1">
      <alignment horizontal="center" vertical="top"/>
    </xf>
    <xf numFmtId="10" fontId="7" fillId="0" borderId="0" xfId="0" applyNumberFormat="1" applyFont="1" applyAlignment="1">
      <alignment horizontal="right"/>
    </xf>
    <xf numFmtId="49" fontId="7" fillId="0" borderId="0" xfId="0" applyNumberFormat="1" applyFont="1" applyAlignment="1">
      <alignment horizontal="center" vertical="top"/>
    </xf>
    <xf numFmtId="0" fontId="8" fillId="6" borderId="0" xfId="0" applyFont="1" applyFill="1" applyAlignment="1">
      <alignment vertical="top"/>
    </xf>
    <xf numFmtId="0" fontId="1" fillId="0" borderId="0" xfId="0" applyFont="1"/>
    <xf numFmtId="0" fontId="7" fillId="0" borderId="0" xfId="0" applyFont="1" applyAlignment="1">
      <alignment vertical="top"/>
    </xf>
    <xf numFmtId="0" fontId="1" fillId="0" borderId="2" xfId="0" applyFont="1" applyBorder="1" applyAlignment="1">
      <alignment vertical="top"/>
    </xf>
    <xf numFmtId="0" fontId="1" fillId="7" borderId="2" xfId="0" applyFont="1" applyFill="1" applyBorder="1" applyAlignment="1">
      <alignment vertical="top"/>
    </xf>
    <xf numFmtId="10" fontId="7" fillId="0" borderId="0" xfId="0" applyNumberFormat="1" applyFont="1" applyAlignment="1">
      <alignment horizontal="right" vertical="top"/>
    </xf>
    <xf numFmtId="10" fontId="1" fillId="7" borderId="3" xfId="0" applyNumberFormat="1" applyFont="1" applyFill="1" applyBorder="1" applyAlignment="1">
      <alignment vertical="top"/>
    </xf>
    <xf numFmtId="3" fontId="7" fillId="0" borderId="0" xfId="0" applyNumberFormat="1" applyFont="1" applyAlignment="1">
      <alignment horizontal="center" vertical="top" wrapText="1"/>
    </xf>
    <xf numFmtId="0" fontId="7" fillId="0" borderId="0" xfId="0" applyFont="1" applyAlignment="1">
      <alignment horizontal="center"/>
    </xf>
    <xf numFmtId="0" fontId="9" fillId="8" borderId="0" xfId="0" applyFont="1" applyFill="1" applyAlignment="1">
      <alignment vertical="top"/>
    </xf>
    <xf numFmtId="0" fontId="1" fillId="9" borderId="2" xfId="0" applyFont="1" applyFill="1" applyBorder="1" applyAlignment="1">
      <alignment vertical="top"/>
    </xf>
    <xf numFmtId="0" fontId="1" fillId="5" borderId="3" xfId="0" applyFont="1" applyFill="1" applyBorder="1" applyAlignment="1">
      <alignment vertical="top"/>
    </xf>
    <xf numFmtId="0" fontId="1" fillId="10" borderId="2" xfId="0" applyFont="1" applyFill="1" applyBorder="1" applyAlignment="1">
      <alignment vertical="top"/>
    </xf>
    <xf numFmtId="0" fontId="8" fillId="0" borderId="0" xfId="0" applyFont="1" applyAlignment="1">
      <alignment wrapText="1"/>
    </xf>
    <xf numFmtId="0" fontId="1" fillId="11" borderId="2" xfId="0" applyFont="1" applyFill="1" applyBorder="1" applyAlignment="1">
      <alignment vertical="top"/>
    </xf>
    <xf numFmtId="0" fontId="1" fillId="12" borderId="2" xfId="0" applyFont="1" applyFill="1" applyBorder="1" applyAlignment="1">
      <alignment vertical="top" wrapText="1"/>
    </xf>
    <xf numFmtId="0" fontId="10" fillId="13" borderId="3" xfId="0" applyFont="1" applyFill="1" applyBorder="1" applyAlignment="1">
      <alignment vertical="top" wrapText="1"/>
    </xf>
    <xf numFmtId="0" fontId="1" fillId="14" borderId="2" xfId="0" applyFont="1" applyFill="1" applyBorder="1" applyAlignment="1">
      <alignment vertical="top"/>
    </xf>
    <xf numFmtId="0" fontId="11" fillId="0" borderId="0" xfId="0" applyFont="1" applyAlignment="1">
      <alignment vertical="top"/>
    </xf>
    <xf numFmtId="164" fontId="10" fillId="13" borderId="0" xfId="0" applyNumberFormat="1" applyFont="1" applyFill="1"/>
    <xf numFmtId="164" fontId="2" fillId="0" borderId="0" xfId="0" applyNumberFormat="1" applyFont="1"/>
    <xf numFmtId="0" fontId="1" fillId="6" borderId="2" xfId="0" applyFont="1" applyFill="1" applyBorder="1" applyAlignment="1">
      <alignment vertical="top"/>
    </xf>
    <xf numFmtId="0" fontId="9" fillId="15" borderId="2" xfId="0" applyFont="1" applyFill="1" applyBorder="1" applyAlignment="1">
      <alignment vertical="top" wrapText="1"/>
    </xf>
    <xf numFmtId="10" fontId="1" fillId="12" borderId="3" xfId="0" applyNumberFormat="1" applyFont="1" applyFill="1" applyBorder="1" applyAlignment="1">
      <alignment vertical="top" wrapText="1"/>
    </xf>
    <xf numFmtId="0" fontId="12" fillId="15" borderId="2" xfId="0" applyFont="1" applyFill="1" applyBorder="1" applyAlignment="1">
      <alignment vertical="top" wrapText="1"/>
    </xf>
    <xf numFmtId="0" fontId="12" fillId="0" borderId="0" xfId="0" applyFont="1" applyAlignment="1">
      <alignment vertical="top"/>
    </xf>
    <xf numFmtId="0" fontId="7" fillId="16" borderId="2" xfId="0" applyFont="1" applyFill="1" applyBorder="1" applyAlignment="1">
      <alignment vertical="top" wrapText="1"/>
    </xf>
    <xf numFmtId="0" fontId="1" fillId="15" borderId="2" xfId="0" applyFont="1" applyFill="1" applyBorder="1" applyAlignment="1">
      <alignment vertical="top" wrapText="1"/>
    </xf>
    <xf numFmtId="0" fontId="1" fillId="0" borderId="3" xfId="0" applyFont="1" applyBorder="1" applyAlignment="1">
      <alignment vertical="top" wrapText="1"/>
    </xf>
    <xf numFmtId="0" fontId="11" fillId="0" borderId="2" xfId="0" applyFont="1" applyBorder="1" applyAlignment="1">
      <alignment vertical="top" wrapText="1"/>
    </xf>
    <xf numFmtId="164" fontId="9" fillId="0" borderId="0" xfId="0" applyNumberFormat="1" applyFont="1" applyAlignment="1">
      <alignment vertical="top"/>
    </xf>
    <xf numFmtId="0" fontId="1" fillId="17" borderId="2" xfId="0" applyFont="1" applyFill="1" applyBorder="1" applyAlignment="1">
      <alignment vertical="top" wrapText="1"/>
    </xf>
    <xf numFmtId="0" fontId="1" fillId="18" borderId="0" xfId="0" applyFont="1" applyFill="1" applyAlignment="1">
      <alignment wrapText="1"/>
    </xf>
    <xf numFmtId="49" fontId="1" fillId="18" borderId="0" xfId="0" applyNumberFormat="1" applyFont="1" applyFill="1" applyAlignment="1">
      <alignment horizontal="center" vertical="top"/>
    </xf>
    <xf numFmtId="10" fontId="1" fillId="18" borderId="0" xfId="0" applyNumberFormat="1" applyFont="1" applyFill="1" applyAlignment="1">
      <alignment horizontal="right" vertical="top"/>
    </xf>
    <xf numFmtId="0" fontId="9" fillId="0" borderId="3" xfId="0" applyFont="1" applyBorder="1" applyAlignment="1">
      <alignment vertical="top" wrapText="1"/>
    </xf>
    <xf numFmtId="0" fontId="1" fillId="4" borderId="2" xfId="0" applyFont="1" applyFill="1" applyBorder="1" applyAlignment="1">
      <alignment vertical="top" wrapText="1"/>
    </xf>
    <xf numFmtId="0" fontId="1" fillId="0" borderId="0" xfId="0" applyFont="1" applyAlignment="1">
      <alignment horizontal="center" vertical="top"/>
    </xf>
    <xf numFmtId="10" fontId="1" fillId="0" borderId="0" xfId="0" applyNumberFormat="1" applyFont="1" applyAlignment="1">
      <alignment horizontal="right"/>
    </xf>
    <xf numFmtId="0" fontId="8" fillId="0" borderId="3" xfId="0" applyFont="1" applyBorder="1" applyAlignment="1">
      <alignment vertical="top" wrapText="1"/>
    </xf>
    <xf numFmtId="0" fontId="1" fillId="0" borderId="0" xfId="0" applyFont="1" applyAlignment="1">
      <alignment horizontal="center"/>
    </xf>
    <xf numFmtId="0" fontId="1" fillId="18" borderId="4" xfId="0" applyFont="1" applyFill="1" applyBorder="1" applyAlignment="1">
      <alignment horizontal="center" vertical="top" wrapText="1"/>
    </xf>
    <xf numFmtId="0" fontId="1" fillId="15" borderId="4" xfId="0" applyFont="1" applyFill="1" applyBorder="1" applyAlignment="1">
      <alignment horizontal="center" vertical="top" wrapText="1"/>
    </xf>
    <xf numFmtId="0" fontId="1" fillId="2" borderId="4" xfId="0" applyFont="1" applyFill="1" applyBorder="1" applyAlignment="1">
      <alignment horizontal="center" vertical="top" wrapText="1"/>
    </xf>
    <xf numFmtId="0" fontId="1" fillId="2" borderId="4" xfId="0" applyFont="1" applyFill="1" applyBorder="1" applyAlignment="1">
      <alignment horizontal="center" wrapText="1"/>
    </xf>
    <xf numFmtId="0" fontId="1" fillId="2" borderId="10" xfId="0" applyFont="1" applyFill="1" applyBorder="1" applyAlignment="1">
      <alignment horizontal="center" wrapText="1"/>
    </xf>
    <xf numFmtId="0" fontId="1" fillId="2" borderId="6" xfId="0" applyFont="1" applyFill="1" applyBorder="1" applyAlignment="1">
      <alignment horizontal="center" wrapText="1"/>
    </xf>
    <xf numFmtId="0" fontId="1" fillId="19" borderId="11" xfId="0" applyFont="1" applyFill="1" applyBorder="1" applyAlignment="1">
      <alignment horizontal="center" wrapText="1"/>
    </xf>
    <xf numFmtId="0" fontId="1" fillId="19" borderId="4" xfId="0" applyFont="1" applyFill="1" applyBorder="1" applyAlignment="1">
      <alignment horizontal="center" wrapText="1"/>
    </xf>
    <xf numFmtId="0" fontId="1" fillId="19" borderId="12" xfId="0" applyFont="1" applyFill="1" applyBorder="1" applyAlignment="1">
      <alignment wrapText="1"/>
    </xf>
    <xf numFmtId="0" fontId="1" fillId="20" borderId="13" xfId="0" applyFont="1" applyFill="1" applyBorder="1" applyAlignment="1">
      <alignment horizontal="center" wrapText="1"/>
    </xf>
    <xf numFmtId="0" fontId="1" fillId="20" borderId="4" xfId="0" applyFont="1" applyFill="1" applyBorder="1" applyAlignment="1">
      <alignment horizontal="center" wrapText="1"/>
    </xf>
    <xf numFmtId="0" fontId="1" fillId="21" borderId="11" xfId="0" applyFont="1" applyFill="1" applyBorder="1" applyAlignment="1">
      <alignment horizontal="center" wrapText="1"/>
    </xf>
    <xf numFmtId="0" fontId="1" fillId="21" borderId="4" xfId="0" applyFont="1" applyFill="1" applyBorder="1" applyAlignment="1">
      <alignment horizontal="center" wrapText="1"/>
    </xf>
    <xf numFmtId="0" fontId="1" fillId="21" borderId="12" xfId="0" applyFont="1" applyFill="1" applyBorder="1" applyAlignment="1">
      <alignment horizontal="center" wrapText="1"/>
    </xf>
    <xf numFmtId="0" fontId="1" fillId="11" borderId="0" xfId="0" applyFont="1" applyFill="1" applyAlignment="1">
      <alignment horizontal="center" vertical="top" wrapText="1"/>
    </xf>
    <xf numFmtId="0" fontId="1" fillId="8" borderId="0" xfId="0" applyFont="1" applyFill="1" applyAlignment="1">
      <alignment vertical="top" wrapText="1"/>
    </xf>
    <xf numFmtId="0" fontId="2" fillId="8" borderId="0" xfId="0" applyFont="1" applyFill="1" applyAlignment="1">
      <alignment vertical="top"/>
    </xf>
    <xf numFmtId="9" fontId="1" fillId="8" borderId="0" xfId="0" applyNumberFormat="1" applyFont="1" applyFill="1" applyAlignment="1">
      <alignment horizontal="center" vertical="top" wrapText="1"/>
    </xf>
    <xf numFmtId="0" fontId="2" fillId="8" borderId="1" xfId="0" applyFont="1" applyFill="1" applyBorder="1" applyAlignment="1">
      <alignment vertical="top"/>
    </xf>
    <xf numFmtId="0" fontId="2" fillId="8" borderId="2" xfId="0" applyFont="1" applyFill="1" applyBorder="1" applyAlignment="1">
      <alignment vertical="top"/>
    </xf>
    <xf numFmtId="164" fontId="2" fillId="8" borderId="0" xfId="0" applyNumberFormat="1" applyFont="1" applyFill="1" applyAlignment="1">
      <alignment vertical="top"/>
    </xf>
    <xf numFmtId="0" fontId="2" fillId="8" borderId="3" xfId="0" applyFont="1" applyFill="1" applyBorder="1" applyAlignment="1">
      <alignment vertical="top"/>
    </xf>
    <xf numFmtId="165" fontId="2" fillId="8" borderId="0" xfId="0" applyNumberFormat="1" applyFont="1" applyFill="1" applyAlignment="1">
      <alignment vertical="top"/>
    </xf>
    <xf numFmtId="0" fontId="1" fillId="15" borderId="0" xfId="0" applyFont="1" applyFill="1" applyAlignment="1">
      <alignment vertical="top" wrapText="1"/>
    </xf>
    <xf numFmtId="0" fontId="7" fillId="15" borderId="0" xfId="0" applyFont="1" applyFill="1" applyAlignment="1">
      <alignment vertical="top" wrapText="1"/>
    </xf>
    <xf numFmtId="0" fontId="7" fillId="0" borderId="0" xfId="0" applyFont="1" applyAlignment="1">
      <alignment vertical="top" wrapText="1"/>
    </xf>
    <xf numFmtId="0" fontId="7" fillId="0" borderId="1" xfId="0" applyFont="1" applyBorder="1" applyAlignment="1">
      <alignment vertical="top" wrapText="1"/>
    </xf>
    <xf numFmtId="0" fontId="1" fillId="0" borderId="2" xfId="0" applyFont="1" applyBorder="1" applyAlignment="1">
      <alignment vertical="top" wrapText="1"/>
    </xf>
    <xf numFmtId="164" fontId="7" fillId="0" borderId="0" xfId="0" applyNumberFormat="1" applyFont="1" applyAlignment="1">
      <alignment horizontal="center" vertical="top" wrapText="1"/>
    </xf>
    <xf numFmtId="0" fontId="7" fillId="0" borderId="0" xfId="0" applyFont="1" applyAlignment="1">
      <alignment horizontal="center" vertical="top" wrapText="1"/>
    </xf>
    <xf numFmtId="0" fontId="17" fillId="15" borderId="0" xfId="0" applyFont="1" applyFill="1" applyAlignment="1">
      <alignment vertical="top" wrapText="1"/>
    </xf>
    <xf numFmtId="0" fontId="2" fillId="15" borderId="3" xfId="0" applyFont="1" applyFill="1" applyBorder="1" applyAlignment="1">
      <alignment vertical="top"/>
    </xf>
    <xf numFmtId="165" fontId="2" fillId="15" borderId="0" xfId="0" applyNumberFormat="1" applyFont="1" applyFill="1" applyAlignment="1">
      <alignment vertical="top"/>
    </xf>
    <xf numFmtId="0" fontId="2" fillId="15" borderId="0" xfId="0" applyFont="1" applyFill="1" applyAlignment="1">
      <alignment vertical="top"/>
    </xf>
    <xf numFmtId="0" fontId="2" fillId="15" borderId="2" xfId="0" applyFont="1" applyFill="1" applyBorder="1" applyAlignment="1">
      <alignment vertical="top"/>
    </xf>
    <xf numFmtId="164" fontId="2" fillId="15" borderId="0" xfId="0" applyNumberFormat="1" applyFont="1" applyFill="1" applyAlignment="1">
      <alignment vertical="top"/>
    </xf>
    <xf numFmtId="0" fontId="0" fillId="0" borderId="0" xfId="0"/>
    <xf numFmtId="0" fontId="5" fillId="0" borderId="0" xfId="0" applyFont="1" applyAlignment="1">
      <alignment vertical="top"/>
    </xf>
    <xf numFmtId="0" fontId="13" fillId="19" borderId="5" xfId="0" applyFont="1" applyFill="1" applyBorder="1" applyAlignment="1">
      <alignment horizontal="center" vertical="top" wrapText="1"/>
    </xf>
    <xf numFmtId="0" fontId="14" fillId="0" borderId="6" xfId="0" applyFont="1" applyBorder="1"/>
    <xf numFmtId="0" fontId="15" fillId="20" borderId="7" xfId="0" applyFont="1" applyFill="1" applyBorder="1" applyAlignment="1">
      <alignment horizontal="center" vertical="top" wrapText="1"/>
    </xf>
    <xf numFmtId="0" fontId="14" fillId="0" borderId="8" xfId="0" applyFont="1" applyBorder="1"/>
    <xf numFmtId="0" fontId="16" fillId="21" borderId="5" xfId="0" applyFont="1" applyFill="1" applyBorder="1" applyAlignment="1">
      <alignment horizontal="center" vertical="top" wrapText="1"/>
    </xf>
    <xf numFmtId="0" fontId="14" fillId="0" borderId="9"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rive.google.com/file/d/1jUJiamUMM-YKog1tIdwksxCagkAwHYlp/view?usp=sharing" TargetMode="External"/><Relationship Id="rId2" Type="http://schemas.openxmlformats.org/officeDocument/2006/relationships/hyperlink" Target="https://drive.google.com/file/d/1W6aXz1aruBW4J2A-lbRuA9fCZxIT-2P2/view?usp=sharing" TargetMode="External"/><Relationship Id="rId1" Type="http://schemas.openxmlformats.org/officeDocument/2006/relationships/hyperlink" Target="https://drive.google.com/file/d/1qFQ4NAdQbhwVKl2bsQUqrQFKKrMVpQpK/view?usp=sharing"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3"/>
  <sheetViews>
    <sheetView tabSelected="1" zoomScale="115" zoomScaleNormal="115" workbookViewId="0">
      <selection activeCell="C13" sqref="C13"/>
    </sheetView>
  </sheetViews>
  <sheetFormatPr defaultColWidth="12.5703125" defaultRowHeight="15.75" customHeight="1"/>
  <cols>
    <col min="5" max="5" width="17.42578125" customWidth="1"/>
    <col min="6" max="6" width="25.28515625" customWidth="1"/>
  </cols>
  <sheetData>
    <row r="1" spans="1:27">
      <c r="A1" s="1" t="s">
        <v>83</v>
      </c>
      <c r="B1" s="2"/>
      <c r="C1" s="2"/>
      <c r="D1" s="2"/>
      <c r="E1" s="2"/>
      <c r="F1" s="1" t="s">
        <v>0</v>
      </c>
      <c r="G1" s="2"/>
      <c r="H1" s="2"/>
      <c r="I1" s="3"/>
      <c r="J1" s="2"/>
      <c r="K1" s="4" t="s">
        <v>1</v>
      </c>
      <c r="L1" s="5" t="s">
        <v>2</v>
      </c>
      <c r="M1" s="6" t="s">
        <v>3</v>
      </c>
      <c r="N1" s="7"/>
      <c r="O1" s="8" t="s">
        <v>4</v>
      </c>
      <c r="P1" s="9" t="str">
        <f>"Total" &amp; " (" &amp; SUM(P2,P3,P4,P5,P6,P7,P9) &amp; ") "</f>
        <v xml:space="preserve">Total (0) </v>
      </c>
      <c r="Q1" s="10" t="str">
        <f>"Need Test" &amp; " (" &amp; SUM(Q2:Q9) &amp; ") "</f>
        <v xml:space="preserve">Need Test (0) </v>
      </c>
      <c r="R1" s="11"/>
      <c r="S1" s="4" t="s">
        <v>5</v>
      </c>
      <c r="T1" s="12">
        <f>SUM(T2:T9)</f>
        <v>0</v>
      </c>
      <c r="U1" s="13" t="s">
        <v>3</v>
      </c>
      <c r="V1" s="5" t="s">
        <v>6</v>
      </c>
      <c r="W1" s="5" t="s">
        <v>7</v>
      </c>
      <c r="X1" s="11"/>
      <c r="Y1" s="14" t="s">
        <v>8</v>
      </c>
      <c r="Z1" s="14" t="s">
        <v>9</v>
      </c>
      <c r="AA1" s="11"/>
    </row>
    <row r="2" spans="1:27">
      <c r="A2" s="104"/>
      <c r="B2" s="103"/>
      <c r="C2" s="103"/>
      <c r="D2" s="103"/>
      <c r="E2" s="103"/>
      <c r="F2" s="15" t="s">
        <v>10</v>
      </c>
      <c r="G2" s="2"/>
      <c r="H2" s="2"/>
      <c r="I2" s="3"/>
      <c r="J2" s="2"/>
      <c r="K2" s="16" t="s">
        <v>11</v>
      </c>
      <c r="L2" s="17">
        <f>COUNTIF($K$13:$K981,$K2)</f>
        <v>0</v>
      </c>
      <c r="M2" s="18">
        <f t="shared" ref="M2:M8" si="0">L2/$E$10</f>
        <v>0</v>
      </c>
      <c r="N2" s="11"/>
      <c r="O2" s="19" t="s">
        <v>11</v>
      </c>
      <c r="P2" s="20">
        <f>COUNTIF($O$12:$O981,"OK*")</f>
        <v>0</v>
      </c>
      <c r="Q2" s="21" t="s">
        <v>12</v>
      </c>
      <c r="R2" s="11"/>
      <c r="S2" s="22" t="s">
        <v>13</v>
      </c>
      <c r="T2" s="23">
        <f>COUNTIF($S$12:$S981, $S2)</f>
        <v>0</v>
      </c>
      <c r="U2" s="24" t="str">
        <f t="shared" ref="U2:U9" si="1">IFERROR(T2/$T$1,"-")</f>
        <v>-</v>
      </c>
      <c r="V2" s="25">
        <f>COUNTIFS($S$12:$S981,$S2,$U$12:$U981,V$1)</f>
        <v>0</v>
      </c>
      <c r="W2" s="25">
        <f>COUNTIFS($S$12:$S981,$S2,$U$12:$U981,W$1)</f>
        <v>0</v>
      </c>
      <c r="X2" s="11"/>
      <c r="Y2" s="26" t="s">
        <v>14</v>
      </c>
      <c r="Z2" s="27" t="s">
        <v>82</v>
      </c>
      <c r="AA2" s="11"/>
    </row>
    <row r="3" spans="1:27">
      <c r="A3" s="1" t="s">
        <v>15</v>
      </c>
      <c r="B3" s="28" t="s">
        <v>16</v>
      </c>
      <c r="C3" s="2"/>
      <c r="D3" s="2"/>
      <c r="E3" s="29" t="s">
        <v>17</v>
      </c>
      <c r="F3" s="2"/>
      <c r="G3" s="2"/>
      <c r="H3" s="2"/>
      <c r="I3" s="3"/>
      <c r="J3" s="2"/>
      <c r="K3" s="30" t="s">
        <v>18</v>
      </c>
      <c r="L3" s="25">
        <f>COUNTIF($K$12:$K981,$K3)</f>
        <v>0</v>
      </c>
      <c r="M3" s="31">
        <f t="shared" si="0"/>
        <v>0</v>
      </c>
      <c r="N3" s="11"/>
      <c r="O3" s="32" t="s">
        <v>18</v>
      </c>
      <c r="P3" s="33">
        <f>COUNTIF($O$12:$O981,O3)</f>
        <v>0</v>
      </c>
      <c r="Q3" s="34">
        <f>COUNTIFS($O$12:$O981,$O3,$S$12:$S981,$S$8)</f>
        <v>0</v>
      </c>
      <c r="R3" s="11"/>
      <c r="S3" s="30" t="s">
        <v>19</v>
      </c>
      <c r="T3" s="23">
        <f>COUNTIF($S$12:$S982, $S3)</f>
        <v>0</v>
      </c>
      <c r="U3" s="24" t="str">
        <f t="shared" si="1"/>
        <v>-</v>
      </c>
      <c r="V3" s="25">
        <f>COUNTIFS($S$12:$S981,$S3,$U$12:$U981,V$1)</f>
        <v>0</v>
      </c>
      <c r="W3" s="25">
        <f>COUNTIFS($S$12:$S981,$S3,$U$12:$U981,W$1)</f>
        <v>0</v>
      </c>
      <c r="X3" s="11"/>
      <c r="Y3" s="35" t="s">
        <v>20</v>
      </c>
      <c r="Z3" s="27" t="s">
        <v>82</v>
      </c>
      <c r="AA3" s="11"/>
    </row>
    <row r="4" spans="1:27">
      <c r="A4" s="1" t="s">
        <v>21</v>
      </c>
      <c r="B4" s="28" t="s">
        <v>22</v>
      </c>
      <c r="C4" s="2"/>
      <c r="D4" s="2"/>
      <c r="E4" s="36" t="s">
        <v>23</v>
      </c>
      <c r="F4" s="2"/>
      <c r="G4" s="2"/>
      <c r="H4" s="2"/>
      <c r="I4" s="3"/>
      <c r="J4" s="2"/>
      <c r="K4" s="22" t="s">
        <v>24</v>
      </c>
      <c r="L4" s="25">
        <f>COUNTIF($K$12:$K982,$K4)</f>
        <v>0</v>
      </c>
      <c r="M4" s="31">
        <f t="shared" si="0"/>
        <v>0</v>
      </c>
      <c r="N4" s="11"/>
      <c r="O4" s="37" t="s">
        <v>25</v>
      </c>
      <c r="P4" s="33">
        <f>COUNTIF($O$12:$O982,O4)</f>
        <v>0</v>
      </c>
      <c r="Q4" s="34">
        <f>COUNTIFS($O$12:$O982,$O4,$S$12:$S982,$S$8)</f>
        <v>0</v>
      </c>
      <c r="R4" s="11"/>
      <c r="S4" s="38" t="s">
        <v>26</v>
      </c>
      <c r="T4" s="23">
        <f>COUNTIF($S$12:$S983, $S4)</f>
        <v>0</v>
      </c>
      <c r="U4" s="24" t="str">
        <f t="shared" si="1"/>
        <v>-</v>
      </c>
      <c r="V4" s="25">
        <f>COUNTIFS($S$12:$S981,$S4,$U$12:$U981,V$1)</f>
        <v>0</v>
      </c>
      <c r="W4" s="25">
        <f>COUNTIFS($S$12:$S981,$S4,$U$12:$U981,W$1)</f>
        <v>0</v>
      </c>
      <c r="X4" s="11"/>
      <c r="Y4" s="39" t="s">
        <v>27</v>
      </c>
      <c r="Z4" s="39" t="str">
        <f>COUNTIFS($S$12:$S981,"*",$U$12:$U981,"BE", $V$12:$V981,"") &amp; " , " &amp; COUNTIFS($S$12:$S981,"*",$U$12:$U981,"FE", $W$12:$W981,"")</f>
        <v>0 , 0</v>
      </c>
      <c r="AA4" s="11"/>
    </row>
    <row r="5" spans="1:27">
      <c r="A5" s="1" t="s">
        <v>28</v>
      </c>
      <c r="B5" s="28" t="s">
        <v>29</v>
      </c>
      <c r="C5" s="2"/>
      <c r="D5" s="1" t="s">
        <v>12</v>
      </c>
      <c r="E5" s="40" t="s">
        <v>30</v>
      </c>
      <c r="F5" s="2"/>
      <c r="G5" s="2"/>
      <c r="H5" s="2"/>
      <c r="I5" s="3"/>
      <c r="J5" s="2"/>
      <c r="K5" s="41" t="s">
        <v>31</v>
      </c>
      <c r="L5" s="25">
        <f>COUNTIF($K$12:$K983,$K5)</f>
        <v>0</v>
      </c>
      <c r="M5" s="31">
        <f t="shared" si="0"/>
        <v>0</v>
      </c>
      <c r="N5" s="11"/>
      <c r="O5" s="42" t="s">
        <v>32</v>
      </c>
      <c r="P5" s="33">
        <f>COUNTIF($O$12:$O983,O5)</f>
        <v>0</v>
      </c>
      <c r="Q5" s="34">
        <f>COUNTIFS($O$12:$O983,$O5,$S$12:$S983,$S$8)</f>
        <v>0</v>
      </c>
      <c r="R5" s="11"/>
      <c r="S5" s="43" t="s">
        <v>33</v>
      </c>
      <c r="T5" s="23">
        <f>COUNTIF($S$12:$S984, $S5)</f>
        <v>0</v>
      </c>
      <c r="U5" s="24" t="str">
        <f t="shared" si="1"/>
        <v>-</v>
      </c>
      <c r="V5" s="25">
        <f>COUNTIFS($S$12:$S981,$S5,$U$12:$U981,V$1)</f>
        <v>0</v>
      </c>
      <c r="W5" s="25">
        <f>COUNTIFS($S$12:$S981,$S5,$U$12:$U981,W$1)</f>
        <v>0</v>
      </c>
      <c r="X5" s="11"/>
      <c r="Y5" s="44" t="s">
        <v>34</v>
      </c>
      <c r="Z5" s="45" t="str">
        <f>IF(MAX(X12:X981) &gt; 0, MAX(X12:X981), "No Target")</f>
        <v>No Target</v>
      </c>
      <c r="AA5" s="46"/>
    </row>
    <row r="6" spans="1:27">
      <c r="A6" s="1" t="s">
        <v>35</v>
      </c>
      <c r="B6" s="28" t="s">
        <v>36</v>
      </c>
      <c r="C6" s="2"/>
      <c r="D6" s="2"/>
      <c r="E6" s="47" t="s">
        <v>37</v>
      </c>
      <c r="F6" s="2"/>
      <c r="G6" s="2"/>
      <c r="H6" s="2"/>
      <c r="I6" s="3"/>
      <c r="J6" s="2"/>
      <c r="K6" s="48" t="s">
        <v>38</v>
      </c>
      <c r="L6" s="25">
        <f>COUNTIF($K$12:$K984,$K6)</f>
        <v>0</v>
      </c>
      <c r="M6" s="31">
        <f t="shared" si="0"/>
        <v>0</v>
      </c>
      <c r="N6" s="11"/>
      <c r="O6" s="49" t="s">
        <v>31</v>
      </c>
      <c r="P6" s="33">
        <f>COUNTIF($O$12:$O984,O6)</f>
        <v>0</v>
      </c>
      <c r="Q6" s="34">
        <f>COUNTIFS($O$12:$O984,$O6,$S$12:$S984,$S$8)</f>
        <v>0</v>
      </c>
      <c r="R6" s="11"/>
      <c r="S6" s="50" t="s">
        <v>39</v>
      </c>
      <c r="T6" s="23">
        <f>COUNTIF($S$12:$S985, $S6)</f>
        <v>0</v>
      </c>
      <c r="U6" s="24" t="str">
        <f t="shared" si="1"/>
        <v>-</v>
      </c>
      <c r="V6" s="25">
        <f>COUNTIFS($S$12:$S981,$S6,$U$12:$U981,V$1)</f>
        <v>0</v>
      </c>
      <c r="W6" s="25">
        <f>COUNTIFS($S$12:$S981,$S6,$U$12:$U981,W$1)</f>
        <v>0</v>
      </c>
      <c r="X6" s="11"/>
      <c r="Y6" s="51" t="s">
        <v>40</v>
      </c>
      <c r="Z6" s="45" t="str">
        <f>IF(MAX(Y12:Y981) &gt; 0, MAX(Y12:Y981), "No Target")</f>
        <v>No Target</v>
      </c>
      <c r="AA6" s="11"/>
    </row>
    <row r="7" spans="1:27">
      <c r="C7" s="2"/>
      <c r="D7" s="2"/>
      <c r="E7" s="52" t="s">
        <v>41</v>
      </c>
      <c r="F7" s="2"/>
      <c r="G7" s="2"/>
      <c r="H7" s="2"/>
      <c r="I7" s="3"/>
      <c r="J7" s="2"/>
      <c r="K7" s="53" t="s">
        <v>42</v>
      </c>
      <c r="L7" s="25">
        <f>COUNTIFS($K$12:$K981,"",E12:E981,"*")</f>
        <v>1</v>
      </c>
      <c r="M7" s="31">
        <f t="shared" si="0"/>
        <v>1</v>
      </c>
      <c r="N7" s="11"/>
      <c r="O7" s="54" t="s">
        <v>43</v>
      </c>
      <c r="P7" s="20">
        <f>COUNTIF($O$12:$O985,O7)</f>
        <v>0</v>
      </c>
      <c r="Q7" s="34" t="s">
        <v>12</v>
      </c>
      <c r="R7" s="2"/>
      <c r="S7" s="55" t="s">
        <v>44</v>
      </c>
      <c r="T7" s="23">
        <f>COUNTIF($S$12:$S986, $S7)</f>
        <v>0</v>
      </c>
      <c r="U7" s="24" t="str">
        <f t="shared" si="1"/>
        <v>-</v>
      </c>
      <c r="V7" s="25">
        <f>COUNTIFS($S$12:$S981,$S7,$U$12:$U981,V$1)</f>
        <v>0</v>
      </c>
      <c r="W7" s="25">
        <f>COUNTIFS($S$12:$S981,$S7,$U$12:$U981,W$1)</f>
        <v>0</v>
      </c>
      <c r="X7" s="11"/>
      <c r="Y7" s="1" t="s">
        <v>45</v>
      </c>
      <c r="Z7" s="56">
        <f ca="1">TODAY()</f>
        <v>46134</v>
      </c>
      <c r="AA7" s="11"/>
    </row>
    <row r="8" spans="1:27">
      <c r="A8" s="2"/>
      <c r="B8" s="2"/>
      <c r="C8" s="2"/>
      <c r="D8" s="2"/>
      <c r="E8" s="57" t="s">
        <v>46</v>
      </c>
      <c r="F8" s="2"/>
      <c r="G8" s="2"/>
      <c r="H8" s="2"/>
      <c r="I8" s="3"/>
      <c r="J8" s="2"/>
      <c r="K8" s="58" t="s">
        <v>47</v>
      </c>
      <c r="L8" s="59">
        <f>SUM(L2:L5)</f>
        <v>0</v>
      </c>
      <c r="M8" s="60">
        <f t="shared" si="0"/>
        <v>0</v>
      </c>
      <c r="N8" s="11"/>
      <c r="O8" s="61" t="s">
        <v>48</v>
      </c>
      <c r="P8" s="33">
        <f>COUNTIF($O$12:$O986,O8)</f>
        <v>0</v>
      </c>
      <c r="Q8" s="34" t="s">
        <v>12</v>
      </c>
      <c r="R8" s="2"/>
      <c r="S8" s="62" t="s">
        <v>49</v>
      </c>
      <c r="T8" s="63">
        <f>COUNTIF($S$12:$S987, $S8)</f>
        <v>0</v>
      </c>
      <c r="U8" s="64" t="str">
        <f t="shared" si="1"/>
        <v>-</v>
      </c>
      <c r="V8" s="25">
        <f>COUNTIFS($S$12:$S981,$S8,$U$12:$U981,V$1)</f>
        <v>0</v>
      </c>
      <c r="W8" s="25">
        <f>COUNTIFS($S$12:$S981,$S8,$U$12:$U981,W$1)</f>
        <v>0</v>
      </c>
      <c r="X8" s="11"/>
      <c r="Y8" s="11"/>
      <c r="Z8" s="11"/>
      <c r="AA8" s="11"/>
    </row>
    <row r="9" spans="1:27">
      <c r="A9" s="2"/>
      <c r="B9" s="2"/>
      <c r="C9" s="2"/>
      <c r="D9" s="2"/>
      <c r="E9" s="11"/>
      <c r="F9" s="2"/>
      <c r="G9" s="2"/>
      <c r="H9" s="2"/>
      <c r="I9" s="3"/>
      <c r="J9" s="2"/>
      <c r="K9" s="11"/>
      <c r="L9" s="11"/>
      <c r="M9" s="11"/>
      <c r="N9" s="11"/>
      <c r="O9" s="65" t="s">
        <v>50</v>
      </c>
      <c r="P9" s="20">
        <f>COUNTIFS($O$12:$O981, "",$R$12:$R981,"*")</f>
        <v>0</v>
      </c>
      <c r="Q9" s="66">
        <f>COUNTIFS($O$12:$O981,"",$S$12:$S981,$S$8)</f>
        <v>0</v>
      </c>
      <c r="R9" s="2"/>
      <c r="S9" s="41" t="s">
        <v>51</v>
      </c>
      <c r="T9" s="23">
        <f>COUNTIF($S$12:$S988, $S9)</f>
        <v>0</v>
      </c>
      <c r="U9" s="24" t="str">
        <f t="shared" si="1"/>
        <v>-</v>
      </c>
      <c r="V9" s="25">
        <f>COUNTIFS($S$12:$S981,$S9,$U$12:$U981,V$1)</f>
        <v>0</v>
      </c>
      <c r="W9" s="25">
        <f>COUNTIFS($S$12:$S981,$S9,$U$12:$U981,W$1)</f>
        <v>0</v>
      </c>
      <c r="X9" s="2"/>
      <c r="Y9" s="11"/>
      <c r="Z9" s="11"/>
      <c r="AA9" s="11"/>
    </row>
    <row r="10" spans="1:27">
      <c r="A10" s="2"/>
      <c r="B10" s="2"/>
      <c r="C10" s="2"/>
      <c r="D10" s="67" t="s">
        <v>52</v>
      </c>
      <c r="E10" s="68">
        <f>COUNTA($E$13:$E981)</f>
        <v>1</v>
      </c>
      <c r="F10" s="2"/>
      <c r="G10" s="2"/>
      <c r="H10" s="2"/>
      <c r="I10" s="3"/>
      <c r="J10" s="2"/>
      <c r="K10" s="105" t="s">
        <v>53</v>
      </c>
      <c r="L10" s="106"/>
      <c r="M10" s="106"/>
      <c r="N10" s="106"/>
      <c r="O10" s="107" t="s">
        <v>54</v>
      </c>
      <c r="P10" s="106"/>
      <c r="Q10" s="106"/>
      <c r="R10" s="108"/>
      <c r="S10" s="109" t="s">
        <v>55</v>
      </c>
      <c r="T10" s="106"/>
      <c r="U10" s="106"/>
      <c r="V10" s="106"/>
      <c r="W10" s="106"/>
      <c r="X10" s="106"/>
      <c r="Y10" s="106"/>
      <c r="Z10" s="106"/>
      <c r="AA10" s="110"/>
    </row>
    <row r="11" spans="1:27" ht="25.5">
      <c r="A11" s="69" t="s">
        <v>56</v>
      </c>
      <c r="B11" s="69" t="s">
        <v>57</v>
      </c>
      <c r="C11" s="69" t="s">
        <v>58</v>
      </c>
      <c r="D11" s="69" t="s">
        <v>59</v>
      </c>
      <c r="E11" s="69" t="s">
        <v>60</v>
      </c>
      <c r="F11" s="69" t="s">
        <v>61</v>
      </c>
      <c r="G11" s="69" t="s">
        <v>62</v>
      </c>
      <c r="H11" s="70" t="s">
        <v>63</v>
      </c>
      <c r="I11" s="71" t="s">
        <v>64</v>
      </c>
      <c r="J11" s="72" t="s">
        <v>65</v>
      </c>
      <c r="K11" s="73" t="s">
        <v>66</v>
      </c>
      <c r="L11" s="74" t="s">
        <v>67</v>
      </c>
      <c r="M11" s="74" t="s">
        <v>68</v>
      </c>
      <c r="N11" s="75" t="s">
        <v>69</v>
      </c>
      <c r="O11" s="76" t="s">
        <v>70</v>
      </c>
      <c r="P11" s="77" t="s">
        <v>67</v>
      </c>
      <c r="Q11" s="77" t="s">
        <v>71</v>
      </c>
      <c r="R11" s="77" t="s">
        <v>4</v>
      </c>
      <c r="S11" s="78" t="s">
        <v>72</v>
      </c>
      <c r="T11" s="79" t="s">
        <v>67</v>
      </c>
      <c r="U11" s="79" t="s">
        <v>73</v>
      </c>
      <c r="V11" s="79" t="s">
        <v>74</v>
      </c>
      <c r="W11" s="79" t="s">
        <v>75</v>
      </c>
      <c r="X11" s="79" t="s">
        <v>76</v>
      </c>
      <c r="Y11" s="79" t="s">
        <v>77</v>
      </c>
      <c r="Z11" s="80" t="s">
        <v>78</v>
      </c>
      <c r="AA11" s="80" t="s">
        <v>79</v>
      </c>
    </row>
    <row r="12" spans="1:27" ht="12.75">
      <c r="A12" s="81">
        <v>1</v>
      </c>
      <c r="B12" s="82" t="s">
        <v>80</v>
      </c>
      <c r="C12" s="83"/>
      <c r="D12" s="83"/>
      <c r="E12" s="83"/>
      <c r="F12" s="84">
        <f ca="1">IFERROR(__xludf.DUMMYFUNCTION("PERCENTIF($K13:$K14,$K$2)"),0)</f>
        <v>0</v>
      </c>
      <c r="G12" s="83"/>
      <c r="H12" s="83"/>
      <c r="I12" s="85"/>
      <c r="J12" s="83" t="str">
        <f t="shared" ref="J12:J13" ca="1" si="2">IF(A12&lt;&gt;"", RANDBETWEEN(2, 15) &amp; " mins", "")</f>
        <v>6 mins</v>
      </c>
      <c r="K12" s="86"/>
      <c r="L12" s="87"/>
      <c r="M12" s="83"/>
      <c r="N12" s="83"/>
      <c r="O12" s="88"/>
      <c r="P12" s="89"/>
      <c r="Q12" s="83"/>
      <c r="R12" s="83"/>
      <c r="S12" s="86"/>
      <c r="T12" s="89"/>
      <c r="U12" s="83"/>
      <c r="V12" s="83"/>
      <c r="W12" s="83"/>
      <c r="X12" s="87"/>
      <c r="Y12" s="87"/>
      <c r="Z12" s="83"/>
      <c r="AA12" s="83"/>
    </row>
    <row r="13" spans="1:27" ht="216.75">
      <c r="A13" s="81" t="s">
        <v>84</v>
      </c>
      <c r="B13" s="90" t="s">
        <v>85</v>
      </c>
      <c r="C13" s="90" t="s">
        <v>12</v>
      </c>
      <c r="D13" s="90" t="s">
        <v>12</v>
      </c>
      <c r="E13" s="90" t="s">
        <v>86</v>
      </c>
      <c r="F13" s="91" t="s">
        <v>87</v>
      </c>
      <c r="G13" s="91" t="s">
        <v>88</v>
      </c>
      <c r="H13" s="92" t="s">
        <v>81</v>
      </c>
      <c r="I13" s="93" t="s">
        <v>64</v>
      </c>
      <c r="J13" s="92" t="str">
        <f t="shared" ca="1" si="2"/>
        <v>2 mins</v>
      </c>
      <c r="K13" s="94"/>
      <c r="L13" s="95"/>
      <c r="M13" s="96"/>
      <c r="N13" s="97"/>
      <c r="O13" s="98"/>
      <c r="P13" s="99"/>
      <c r="Q13" s="100"/>
      <c r="R13" s="100"/>
      <c r="S13" s="101"/>
      <c r="T13" s="99"/>
      <c r="U13" s="100"/>
      <c r="V13" s="92"/>
      <c r="W13" s="100"/>
      <c r="X13" s="102"/>
      <c r="Y13" s="102"/>
      <c r="Z13" s="100"/>
      <c r="AA13" s="100"/>
    </row>
  </sheetData>
  <mergeCells count="4">
    <mergeCell ref="A2:E2"/>
    <mergeCell ref="K10:N10"/>
    <mergeCell ref="O10:R10"/>
    <mergeCell ref="S10:AA10"/>
  </mergeCells>
  <hyperlinks>
    <hyperlink ref="K1" r:id="rId1" xr:uid="{00000000-0004-0000-0000-000000000000}"/>
    <hyperlink ref="O1" r:id="rId2" xr:uid="{00000000-0004-0000-0000-000001000000}"/>
    <hyperlink ref="S1" r:id="rId3" xr:uid="{00000000-0004-0000-0000-000002000000}"/>
    <hyperlink ref="K10" location="null!B5:Q5" display="Testing Update" xr:uid="{00000000-0004-0000-0000-000003000000}"/>
    <hyperlink ref="O10" location="null!B25:O25" display="Issue Update" xr:uid="{00000000-0004-0000-0000-000004000000}"/>
    <hyperlink ref="S10" location="null!B36:S36" display="Developer Update" xr:uid="{00000000-0004-0000-0000-000005000000}"/>
  </hyperlinks>
  <pageMargins left="0.7" right="0.7" top="0.75" bottom="0.75" header="0.3" footer="0.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Lembar kerja</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raditya aryabudhi ramadhan</dc:creator>
  <cp:lastModifiedBy>raditya aryabudhi ramadhan</cp:lastModifiedBy>
  <dcterms:created xsi:type="dcterms:W3CDTF">2026-04-22T04:39:38Z</dcterms:created>
  <dcterms:modified xsi:type="dcterms:W3CDTF">2026-04-22T04:40:29Z</dcterms:modified>
</cp:coreProperties>
</file>