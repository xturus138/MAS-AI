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Kuliah\SKRIPSI\RESEARCH TEMA PROKSI\AUTOMATED TESTING ANDROID\Dokumen Suitmedia\"/>
    </mc:Choice>
  </mc:AlternateContent>
  <xr:revisionPtr revIDLastSave="0" documentId="13_ncr:1_{1619244B-C8FF-4F37-AB3A-5AC57A000451}" xr6:coauthVersionLast="47" xr6:coauthVersionMax="47" xr10:uidLastSave="{00000000-0000-0000-0000-000000000000}"/>
  <bookViews>
    <workbookView xWindow="-38520" yWindow="-9900" windowWidth="38640" windowHeight="16440" tabRatio="500" xr2:uid="{00000000-000D-0000-FFFF-FFFF00000000}"/>
  </bookViews>
  <sheets>
    <sheet name="Sheet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2" i="1" l="1"/>
  <c r="J91" i="1"/>
  <c r="J90" i="1"/>
  <c r="J89" i="1"/>
  <c r="J88" i="1"/>
  <c r="F88" i="1"/>
  <c r="A88" i="1"/>
  <c r="J87" i="1"/>
  <c r="J86" i="1"/>
  <c r="J85" i="1"/>
  <c r="F85" i="1"/>
  <c r="A85" i="1"/>
  <c r="J84" i="1"/>
  <c r="J83" i="1"/>
  <c r="J82" i="1"/>
  <c r="J81" i="1"/>
  <c r="J80" i="1"/>
  <c r="F80" i="1"/>
  <c r="A80" i="1"/>
  <c r="J79" i="1"/>
  <c r="J78" i="1"/>
  <c r="J77" i="1"/>
  <c r="J76" i="1"/>
  <c r="J75" i="1"/>
  <c r="F74" i="1"/>
  <c r="A74" i="1"/>
  <c r="J74" i="1" s="1"/>
  <c r="J73" i="1"/>
  <c r="J72" i="1"/>
  <c r="J71" i="1"/>
  <c r="J70" i="1"/>
  <c r="J69" i="1"/>
  <c r="J68" i="1"/>
  <c r="J67" i="1"/>
  <c r="F66" i="1"/>
  <c r="A66" i="1"/>
  <c r="J66" i="1" s="1"/>
  <c r="J65" i="1"/>
  <c r="J64" i="1"/>
  <c r="J63" i="1"/>
  <c r="J62" i="1"/>
  <c r="J61" i="1"/>
  <c r="J60" i="1"/>
  <c r="J59" i="1"/>
  <c r="J58" i="1"/>
  <c r="J57" i="1"/>
  <c r="J56" i="1"/>
  <c r="J55" i="1"/>
  <c r="J54" i="1"/>
  <c r="F53" i="1"/>
  <c r="A53" i="1"/>
  <c r="J53" i="1" s="1"/>
  <c r="J52" i="1"/>
  <c r="J51" i="1"/>
  <c r="J50" i="1"/>
  <c r="J49" i="1"/>
  <c r="J48" i="1"/>
  <c r="F47" i="1"/>
  <c r="A47" i="1"/>
  <c r="J47" i="1" s="1"/>
  <c r="J46" i="1"/>
  <c r="J45" i="1"/>
  <c r="J44" i="1"/>
  <c r="J43" i="1"/>
  <c r="J42" i="1"/>
  <c r="F41" i="1"/>
  <c r="A41" i="1"/>
  <c r="J41" i="1" s="1"/>
  <c r="J40" i="1"/>
  <c r="J39" i="1"/>
  <c r="J38" i="1"/>
  <c r="J37" i="1"/>
  <c r="J36" i="1"/>
  <c r="F36" i="1"/>
  <c r="A36" i="1"/>
  <c r="J35" i="1"/>
  <c r="J34" i="1"/>
  <c r="J33" i="1"/>
  <c r="J32" i="1"/>
  <c r="J31" i="1"/>
  <c r="J30" i="1"/>
  <c r="J29" i="1"/>
  <c r="J28" i="1"/>
  <c r="F27" i="1"/>
  <c r="A27" i="1"/>
  <c r="J27" i="1" s="1"/>
  <c r="J26" i="1"/>
  <c r="J25" i="1"/>
  <c r="J24" i="1"/>
  <c r="J23" i="1"/>
  <c r="J22" i="1"/>
  <c r="J21" i="1"/>
  <c r="F20" i="1"/>
  <c r="A20" i="1"/>
  <c r="J20" i="1" s="1"/>
  <c r="J19" i="1"/>
  <c r="J18" i="1"/>
  <c r="J17" i="1"/>
  <c r="J16" i="1"/>
  <c r="J15" i="1"/>
  <c r="J14" i="1"/>
  <c r="J13" i="1"/>
  <c r="F12" i="1"/>
  <c r="A12" i="1"/>
  <c r="J12" i="1" s="1"/>
  <c r="E10" i="1"/>
  <c r="W9" i="1"/>
  <c r="V9" i="1"/>
  <c r="T9" i="1"/>
  <c r="Q9" i="1"/>
  <c r="P9" i="1"/>
  <c r="W8" i="1"/>
  <c r="V8" i="1"/>
  <c r="T8" i="1"/>
  <c r="P8" i="1"/>
  <c r="L8" i="1"/>
  <c r="M8" i="1" s="1"/>
  <c r="Z7" i="1"/>
  <c r="W7" i="1"/>
  <c r="V7" i="1"/>
  <c r="T7" i="1"/>
  <c r="P7" i="1"/>
  <c r="L7" i="1"/>
  <c r="M7" i="1" s="1"/>
  <c r="Z6" i="1"/>
  <c r="W6" i="1"/>
  <c r="V6" i="1"/>
  <c r="T6" i="1"/>
  <c r="U6" i="1" s="1"/>
  <c r="Q6" i="1"/>
  <c r="P6" i="1"/>
  <c r="L6" i="1"/>
  <c r="M6" i="1" s="1"/>
  <c r="Z5" i="1"/>
  <c r="W5" i="1"/>
  <c r="V5" i="1"/>
  <c r="T5" i="1"/>
  <c r="Q5" i="1"/>
  <c r="P5" i="1"/>
  <c r="M5" i="1"/>
  <c r="L5" i="1"/>
  <c r="Z4" i="1"/>
  <c r="W4" i="1"/>
  <c r="V4" i="1"/>
  <c r="T4" i="1"/>
  <c r="Q4" i="1"/>
  <c r="P4" i="1"/>
  <c r="L4" i="1"/>
  <c r="M4" i="1" s="1"/>
  <c r="W3" i="1"/>
  <c r="V3" i="1"/>
  <c r="T3" i="1"/>
  <c r="Q3" i="1"/>
  <c r="P3" i="1"/>
  <c r="L3" i="1"/>
  <c r="M3" i="1" s="1"/>
  <c r="W2" i="1"/>
  <c r="V2" i="1"/>
  <c r="T2" i="1"/>
  <c r="T1" i="1" s="1"/>
  <c r="U8" i="1" s="1"/>
  <c r="P2" i="1"/>
  <c r="P1" i="1" s="1"/>
  <c r="M2" i="1"/>
  <c r="L2" i="1"/>
  <c r="Q1" i="1"/>
  <c r="U3" i="1" l="1"/>
  <c r="U9" i="1"/>
  <c r="U7" i="1"/>
  <c r="U5" i="1"/>
  <c r="U4" i="1"/>
  <c r="U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Y1" authorId="0" shapeId="0" xr:uid="{00000000-0006-0000-0000-000001000000}">
      <text>
        <r>
          <rPr>
            <sz val="10"/>
            <color rgb="FF000000"/>
            <rFont val="Arial"/>
            <charset val="1"/>
          </rPr>
          <t>Overdue: Total issue that doesn't reach the target date for each BE and FE.
Due today: Total issue due today for each BE and FE.
Unassigned PIC: Total issue that has not been assigned to the BE and FE Developer.
Last Target BE: The latest (furthest time) target for fixing the bug in the 'BE Target' Column. Formula: Max.
Last Target FE: The latest (furthest time) target for fixing the bug in the 'FE Target' Column. Formula: Max.</t>
        </r>
      </text>
    </comment>
    <comment ref="A11" authorId="0" shapeId="0" xr:uid="{00000000-0006-0000-0000-000002000000}">
      <text>
        <r>
          <rPr>
            <sz val="10"/>
            <color rgb="FF000000"/>
            <rFont val="Arial"/>
            <charset val="1"/>
          </rPr>
          <t>This TCS ID must be filled in for easy tracking or mention.
Use this format:
TCS-[Module Code]-[Sequence Number]
Example:
1. TCS-WEB-01-001
2. TCS-CMS-01-001</t>
        </r>
      </text>
    </comment>
    <comment ref="B11" authorId="0" shapeId="0" xr:uid="{00000000-0006-0000-0000-000003000000}">
      <text>
        <r>
          <rPr>
            <sz val="10"/>
            <color rgb="FF000000"/>
            <rFont val="Arial"/>
            <charset val="1"/>
          </rPr>
          <t>Fill this with the menu name of the level 1</t>
        </r>
      </text>
    </comment>
    <comment ref="C11" authorId="0" shapeId="0" xr:uid="{00000000-0006-0000-0000-000004000000}">
      <text>
        <r>
          <rPr>
            <sz val="10"/>
            <color rgb="FF000000"/>
            <rFont val="Arial"/>
            <charset val="1"/>
          </rPr>
          <t xml:space="preserve">Fill this with the menu name of the level 2.
If it only has level 1, fill it with (-) or minus sign. </t>
        </r>
      </text>
    </comment>
    <comment ref="D11" authorId="0" shapeId="0" xr:uid="{00000000-0006-0000-0000-000005000000}">
      <text>
        <r>
          <rPr>
            <sz val="10"/>
            <color rgb="FF000000"/>
            <rFont val="Arial"/>
            <charset val="1"/>
          </rPr>
          <t>Fill this with the menu name of the level 3.
If it only has levels 1-2, fill it with (-) or minus sign.
You can hide this column if all of the menus do not have level 3.</t>
        </r>
      </text>
    </comment>
    <comment ref="E11" authorId="0" shapeId="0" xr:uid="{00000000-0006-0000-0000-000006000000}">
      <text>
        <r>
          <rPr>
            <sz val="10"/>
            <color rgb="FF000000"/>
            <rFont val="Arial"/>
            <charset val="1"/>
          </rPr>
          <t>Use sentences with verb prefixes, (ex: "Melihat daftar user").
Write all possible testing scenarios (positive cases and negative cases).
Remember!! 
Testing is the process of executing a program with the intent of finding errors. 
When running TCS and you discover a new case, don't forget to write down that new case.</t>
        </r>
      </text>
    </comment>
    <comment ref="F11" authorId="0" shapeId="0" xr:uid="{00000000-0006-0000-0000-000007000000}">
      <text>
        <r>
          <rPr>
            <sz val="10"/>
            <color rgb="FF000000"/>
            <rFont val="Arial"/>
            <charset val="1"/>
          </rPr>
          <t>Write the test step in as much detail as possible to ease the process of running the test case scenario.</t>
        </r>
      </text>
    </comment>
    <comment ref="G11" authorId="0" shapeId="0" xr:uid="{00000000-0006-0000-0000-000008000000}">
      <text>
        <r>
          <rPr>
            <sz val="10"/>
            <color rgb="FF000000"/>
            <rFont val="Arial"/>
            <charset val="1"/>
          </rPr>
          <t>Write all the results that are expected when running the test case scenario.
Use numbering if the expected result is more than one.
Example:
1. Expected Result 1
2. Expected Result 2</t>
        </r>
      </text>
    </comment>
    <comment ref="H11" authorId="0" shapeId="0" xr:uid="{00000000-0006-0000-0000-000009000000}">
      <text>
        <r>
          <rPr>
            <sz val="10"/>
            <color rgb="FF000000"/>
            <rFont val="Arial"/>
            <charset val="1"/>
          </rPr>
          <t xml:space="preserve">TEST TYPE INFORMATION
Pos. : Positive Test Case, expected to function correctly (valid data)
Neg. : Negative Test Case, expected to fail (invalid or incorrect data) </t>
        </r>
      </text>
    </comment>
    <comment ref="I11" authorId="0" shapeId="0" xr:uid="{00000000-0006-0000-0000-00000A000000}">
      <text>
        <r>
          <rPr>
            <sz val="10"/>
            <color rgb="FF000000"/>
            <rFont val="Arial"/>
            <charset val="1"/>
          </rPr>
          <t>Write the user role who will run the test case scenario</t>
        </r>
      </text>
    </comment>
    <comment ref="K11" authorId="0" shapeId="0" xr:uid="{00000000-0006-0000-0000-00000B000000}">
      <text>
        <r>
          <rPr>
            <sz val="10"/>
            <color rgb="FF000000"/>
            <rFont val="Arial"/>
            <charset val="1"/>
          </rPr>
          <t>Define the testing status with the latest. See the status flow in cell J1.
[STATUS INFORMATION]
1. OK: No issue or all issues have been fixed and checked (OK).
2. MINOR: All issues in the 'Issue Update' section are MINOR.
3. NOT OK: There is a CRITICAL or MAJOR issue in the 'Issue Update' section.
4. HOLD: Testing is postponed because something needs to be confirmed.
5. READY FOR TEST: Testing for the TCS needs to be run.
6. NOT RUN: TCS-related features have not been developed, and testing can't be run.</t>
        </r>
      </text>
    </comment>
    <comment ref="L11" authorId="0" shapeId="0" xr:uid="{00000000-0006-0000-0000-00000C000000}">
      <text>
        <r>
          <rPr>
            <sz val="10"/>
            <color rgb="FF000000"/>
            <rFont val="Arial"/>
            <charset val="1"/>
          </rPr>
          <t>Each time the status is updated, this 'Updated At' date should be updated
Format date: 
Day, DD Mon (Ex: Mon, 29 Apr)
Use the keyboard shortcut CTRL/CMD + ; 
to fill the cell with today's date</t>
        </r>
      </text>
    </comment>
    <comment ref="M11" authorId="0" shapeId="0" xr:uid="{00000000-0006-0000-0000-00000D000000}">
      <text>
        <r>
          <rPr>
            <sz val="10"/>
            <color rgb="FF000000"/>
            <rFont val="Arial"/>
            <charset val="1"/>
          </rPr>
          <t>Fill this column with the analyst name who is in charge/testing the scenario
Adjust the analyst name or add a new PIC in the 'Summary' Sheet &gt; 'Functional Testing' Section &gt; 'Testing Update - Analyst' Table</t>
        </r>
      </text>
    </comment>
    <comment ref="N11" authorId="0" shapeId="0" xr:uid="{00000000-0006-0000-0000-00000E000000}">
      <text>
        <r>
          <rPr>
            <sz val="10"/>
            <color rgb="FF000000"/>
            <rFont val="Arial"/>
            <charset val="1"/>
          </rPr>
          <t>Fill this column with test evidence for the related scenario (image screenshot link or screen recording link).
It would be beneficial if the Main PIC were not responsible (being helped) for the testing. It can be confirmed that the test meets the expected results based on this OK Evidence.
This OK Evidence can be adjusted to the number of expected results. If the expected results are more than one, it can be written like this:
1. here
2. here
3. here</t>
        </r>
      </text>
    </comment>
    <comment ref="O11" authorId="0" shapeId="0" xr:uid="{00000000-0006-0000-0000-00000F000000}">
      <text>
        <r>
          <rPr>
            <sz val="10"/>
            <color rgb="FF000000"/>
            <rFont val="Arial"/>
            <charset val="1"/>
          </rPr>
          <t>Define the issue status with the latest. See the status flow in cell N1.
[STATUS INFORMATION]
1. OK: The issue has been fixed (DONE) by the developer and checked (meets the expectation) by the analyst.
2. MINOR: The issue is not related to the main functionality or component. Example: 'nice to have' features, user behavior, wording, etc.
3. MAJOR: The issue related to the main functionality or component. But it is NOT A BLOCKER to other functions.
4. CRITICAL: The issue related to the main functionality or component. And A BLOCKER for other functions.
5. HOLD: The issue is postponed because something needs to be confirmed.
6. Not Issue: Not an issue after some rechecking and discussion.
7. OK-moved: The issue is moved to Issue Tracker for easier tracking (due to unusual project flow).
8. Unassigned: The issue should be assigned with the updated status.
[BACKGROUND COLOR]
- The cell will be filled with dark gray if the developer status is DONE. This means it is ready for a test.
- The cell will be filled with light cyan if the developer status is HOLD. This means it needs to be confirmed with the developer asap.
- The cell will be filled with cyan if the developer status is Done but the Issue Status is HOLD. This means it needs to be confirmed with the client asap.
!! Don't forget that after testing and changing the testing status to OK, then look at the developer status. If it is still ISSUED then change it to DONE.</t>
        </r>
      </text>
    </comment>
    <comment ref="P11" authorId="0" shapeId="0" xr:uid="{00000000-0006-0000-0000-000010000000}">
      <text>
        <r>
          <rPr>
            <sz val="10"/>
            <color rgb="FF000000"/>
            <rFont val="Arial"/>
            <charset val="1"/>
          </rPr>
          <t>Each time the status is updated, this 'Updated At' date time should be updated
Format date: 
Day, DD Mon /HH:MM (Ex: Mon, 29 Apr / 12:12)
Use the keyboard shortcut CTRL/CMD + ALT/OPT + SHIFT + ; 
to fill the cell with today's date time</t>
        </r>
      </text>
    </comment>
    <comment ref="Q11" authorId="0" shapeId="0" xr:uid="{00000000-0006-0000-0000-000011000000}">
      <text>
        <r>
          <rPr>
            <sz val="10"/>
            <color rgb="FF000000"/>
            <rFont val="Arial"/>
            <charset val="1"/>
          </rPr>
          <t>Define the issue scope based on the PIC who will fix it.
[SCOPE INFORMATION]
1. BE: Backend Developer
2. FE: Frontend Developer
3. BE - FE: BE needs to fix it first then FE fixes it
4. FE - BE: FE needs to fix it first then BE fixes it</t>
        </r>
      </text>
    </comment>
    <comment ref="R11" authorId="0" shapeId="0" xr:uid="{00000000-0006-0000-0000-000012000000}">
      <text>
        <r>
          <rPr>
            <sz val="10"/>
            <color rgb="FF000000"/>
            <rFont val="Arial"/>
            <charset val="1"/>
          </rPr>
          <t xml:space="preserve">WRITING ISSUE GUIDELINE
A. An issue is written in one row, if there is more than one issue you can insert a new row under the related TCS.
B. Using the 'Insert link' feature, you can provide an issue screenshot link for clarity. Example:
1. Issue 1. Check [here]
C. If the issue happens on the mobile device, add the description (Mobile). If the issue is specific to a mobile OS, add a description (Mobile - OS). Example:
1. (Mobile) Issue1
2. (Mobile - iOS) Issue2
D. After writing the issue, add the "Issued" status to the developer status and complete the other information in the 'Developer Update' section according to the issue.
E. Can use the 'Comment' feature to mention the developers directly. </t>
        </r>
      </text>
    </comment>
    <comment ref="S11" authorId="0" shapeId="0" xr:uid="{00000000-0006-0000-0000-000013000000}">
      <text>
        <r>
          <rPr>
            <sz val="10"/>
            <color rgb="FF000000"/>
            <rFont val="Arial"/>
            <charset val="1"/>
          </rPr>
          <t>Define the developer status with the latest. See the status flow in cell R1.
[STATUS INFORMATION]
1. Issued: The issue needs to be fixed.
2. On Progress: The issue is being fixed.
3. Local Done: The issue has been fixed but is still in the developer's local environment.
4. On Review: The issue is being reviewed by the developer's supervisor.
5. BE Done Next FE: The BE-FE scope issue has been done by the BE developer, and then needs to be fixed by the FE developer.
6. FE Done Next BE: The FE-BE scope issue has been done by the FE developer, and then needs to be fixed by the BE developer.
7. Done: The issue has been fixed and has been implemented by the final PIC.
8. Hold: The issue is postponed because something needs to be confirmed.</t>
        </r>
      </text>
    </comment>
    <comment ref="T11" authorId="0" shapeId="0" xr:uid="{00000000-0006-0000-0000-000014000000}">
      <text>
        <r>
          <rPr>
            <sz val="10"/>
            <color rgb="FF000000"/>
            <rFont val="Arial"/>
            <charset val="1"/>
          </rPr>
          <t>Each time the status is updated, this 'Updated At' date time should be updated
Format date: 
Day, DD Mon /HH:MM (Ex: Mon, 29 Apr / 12:12)
Use the keyboard shortcut CTRL/CMD + ALT/OPT + SHIFT + ; 
to fill the cell with today's date time</t>
        </r>
      </text>
    </comment>
    <comment ref="U11" authorId="0" shapeId="0" xr:uid="{00000000-0006-0000-0000-000015000000}">
      <text>
        <r>
          <rPr>
            <sz val="10"/>
            <color rgb="FF000000"/>
            <rFont val="Arial"/>
            <charset val="1"/>
          </rPr>
          <t>Define the current PIC who should/is fixing the issue.
1. BE: Backend Developer
2. FE: Frontend Developer</t>
        </r>
      </text>
    </comment>
    <comment ref="V11" authorId="0" shapeId="0" xr:uid="{00000000-0006-0000-0000-000016000000}">
      <text>
        <r>
          <rPr>
            <sz val="10"/>
            <color rgb="FF000000"/>
            <rFont val="Arial"/>
            <charset val="1"/>
          </rPr>
          <t>Assign the BE Developer name who should fix the issue.
Adjust the BE Developer name or add a new PIC in the 'Summary' Sheet &gt; 'Functional Testing' Section &gt; 'Developer Update' Section.
If the BE Developer name is marked in BOLD BLUE, the developer is the current PIC (PIC Now).</t>
        </r>
      </text>
    </comment>
    <comment ref="W11" authorId="0" shapeId="0" xr:uid="{00000000-0006-0000-0000-000017000000}">
      <text>
        <r>
          <rPr>
            <sz val="10"/>
            <color rgb="FF000000"/>
            <rFont val="Arial"/>
            <charset val="1"/>
          </rPr>
          <t>Assign the FE Developer name who should fix the issue (If this Module is for CMS, just hide this column).
Adjust the FE Developer name or add a new PIC in the 'Summary' Sheet &gt; 'Functional Testing' Section &gt; 'Developer Update' Section.
If the FE Developer name is marked in BOLD RED, the developer is the current PIC (PIC Now).</t>
        </r>
      </text>
    </comment>
    <comment ref="X11" authorId="0" shapeId="0" xr:uid="{00000000-0006-0000-0000-000018000000}">
      <text>
        <r>
          <rPr>
            <sz val="10"/>
            <color rgb="FF000000"/>
            <rFont val="Arial"/>
            <charset val="1"/>
          </rPr>
          <t>Define the Backend Development target for fixing the issue. BE must be committed to the target.
If the target is due today, the date will be marked in BOLD GREEN.
If the target is overdue, the date will be marked in BOLD RED. This should be noted by the developer to immediately fix it or update the target.</t>
        </r>
      </text>
    </comment>
    <comment ref="Y11" authorId="0" shapeId="0" xr:uid="{00000000-0006-0000-0000-000019000000}">
      <text>
        <r>
          <rPr>
            <sz val="10"/>
            <color rgb="FF000000"/>
            <rFont val="Arial"/>
            <charset val="1"/>
          </rPr>
          <t>Define the Frontend Development target for fixing the issue.
FE must be committed to the target.</t>
        </r>
      </text>
    </comment>
    <comment ref="Z11" authorId="0" shapeId="0" xr:uid="{00000000-0006-0000-0000-00001A000000}">
      <text>
        <r>
          <rPr>
            <sz val="10"/>
            <color rgb="FF000000"/>
            <rFont val="Arial"/>
            <charset val="1"/>
          </rPr>
          <t>BE Developer can write additional information regarding the issue in this column</t>
        </r>
      </text>
    </comment>
    <comment ref="AA11" authorId="0" shapeId="0" xr:uid="{00000000-0006-0000-0000-00001B000000}">
      <text>
        <r>
          <rPr>
            <sz val="10"/>
            <color rgb="FF000000"/>
            <rFont val="Arial"/>
            <charset val="1"/>
          </rPr>
          <t>FE Developer can write additional information regarding the issue in this column</t>
        </r>
      </text>
    </comment>
  </commentList>
</comments>
</file>

<file path=xl/sharedStrings.xml><?xml version="1.0" encoding="utf-8"?>
<sst xmlns="http://schemas.openxmlformats.org/spreadsheetml/2006/main" count="726" uniqueCount="447">
  <si>
    <t>Firebase Chat</t>
  </si>
  <si>
    <t>Account Credential:</t>
  </si>
  <si>
    <t>Testing</t>
  </si>
  <si>
    <t>Total</t>
  </si>
  <si>
    <t>%</t>
  </si>
  <si>
    <t>Issue</t>
  </si>
  <si>
    <t>Bug Fixing</t>
  </si>
  <si>
    <t>BE</t>
  </si>
  <si>
    <t>FE</t>
  </si>
  <si>
    <t>Others</t>
  </si>
  <si>
    <t>BE , FE</t>
  </si>
  <si>
    <t>mandatory (if any)</t>
  </si>
  <si>
    <t>OK</t>
  </si>
  <si>
    <t>-</t>
  </si>
  <si>
    <t>Issued</t>
  </si>
  <si>
    <t>Overdue</t>
  </si>
  <si>
    <t>0 , 0</t>
  </si>
  <si>
    <t>👤 Users</t>
  </si>
  <si>
    <t>Publik &amp; Pembeli</t>
  </si>
  <si>
    <t>⚠️  Legend</t>
  </si>
  <si>
    <t>MINOR</t>
  </si>
  <si>
    <t>On Progress</t>
  </si>
  <si>
    <t>Due Today</t>
  </si>
  <si>
    <t>🔗 Design</t>
  </si>
  <si>
    <t>: put the link</t>
  </si>
  <si>
    <t>Example</t>
  </si>
  <si>
    <t>NOT OK</t>
  </si>
  <si>
    <t>MAJOR</t>
  </si>
  <si>
    <t>Local Done</t>
  </si>
  <si>
    <t>Unassigned PIC</t>
  </si>
  <si>
    <t>🔗 FE</t>
  </si>
  <si>
    <t>Priority</t>
  </si>
  <si>
    <t>HOLD</t>
  </si>
  <si>
    <t>CRITICAL</t>
  </si>
  <si>
    <t>On Review</t>
  </si>
  <si>
    <t>Last Target BE</t>
  </si>
  <si>
    <t>🔗 Staging</t>
  </si>
  <si>
    <t>Need for Clarification</t>
  </si>
  <si>
    <t>READY FOR TEST</t>
  </si>
  <si>
    <t>BE Done Next FE</t>
  </si>
  <si>
    <t>Last Target FE</t>
  </si>
  <si>
    <t>Just Added</t>
  </si>
  <si>
    <t>NOT RUN</t>
  </si>
  <si>
    <t>Not Issue</t>
  </si>
  <si>
    <t>FE Done Next BE</t>
  </si>
  <si>
    <t>Today</t>
  </si>
  <si>
    <t>Takeout</t>
  </si>
  <si>
    <t>Total Run</t>
  </si>
  <si>
    <t>OK-moved</t>
  </si>
  <si>
    <t>Done</t>
  </si>
  <si>
    <t>Unassigned</t>
  </si>
  <si>
    <t>Hold</t>
  </si>
  <si>
    <t>Scenario Total</t>
  </si>
  <si>
    <t>Testing Update</t>
  </si>
  <si>
    <t>Issue Update</t>
  </si>
  <si>
    <t>Developer Update</t>
  </si>
  <si>
    <t>TCS ID</t>
  </si>
  <si>
    <t>Menu</t>
  </si>
  <si>
    <t>Submenu 1</t>
  </si>
  <si>
    <t>Submenu 2</t>
  </si>
  <si>
    <t>Test Case Scenario</t>
  </si>
  <si>
    <t>Test Step</t>
  </si>
  <si>
    <t>Expected Result</t>
  </si>
  <si>
    <t>Test Type</t>
  </si>
  <si>
    <t>User</t>
  </si>
  <si>
    <t>Time Testing</t>
  </si>
  <si>
    <t>Testing Status</t>
  </si>
  <si>
    <t>Updated At</t>
  </si>
  <si>
    <t>Testing By</t>
  </si>
  <si>
    <t>OK Evid.</t>
  </si>
  <si>
    <t>Issue Status</t>
  </si>
  <si>
    <t>Scope</t>
  </si>
  <si>
    <t>Developer Status</t>
  </si>
  <si>
    <t>PIC Now</t>
  </si>
  <si>
    <t>BE PIC</t>
  </si>
  <si>
    <t>FE PIC</t>
  </si>
  <si>
    <t>BE Target</t>
  </si>
  <si>
    <t>FE Target</t>
  </si>
  <si>
    <t>BE Notes</t>
  </si>
  <si>
    <t>FE Notes</t>
  </si>
  <si>
    <t>Login</t>
  </si>
  <si>
    <t>FC-LGN-001</t>
  </si>
  <si>
    <t>Email &amp; Password</t>
  </si>
  <si>
    <t>Login berhasil dengan email dan password yang valid</t>
  </si>
  <si>
    <t>1. Buka aplikasi Firebase Chat
2. Masukkan email dan password akun yang valid pada form login
3. Tekan tombol "LOGIN"</t>
  </si>
  <si>
    <t>1. Menampilkan Toast "Login Success"
2. User diarahkan ke halaman Main (Daftar Percakapan)
3. Halaman Login tidak dapat diakses kembali melalui tombol back</t>
  </si>
  <si>
    <t>Pos.</t>
  </si>
  <si>
    <t>User Terdaftar</t>
  </si>
  <si>
    <t>FC-LGN-002</t>
  </si>
  <si>
    <t>Login gagal - email atau password dikosongkan</t>
  </si>
  <si>
    <t>1. Buka aplikasi Firebase Chat
2. Kosongkan salah satu atau kedua field Email/Password
3. Tekan tombol "LOGIN"</t>
  </si>
  <si>
    <t>1. Menampilkan Toast "email or password is invalid."
2. User tetap berada di halaman Login</t>
  </si>
  <si>
    <t>Neg.</t>
  </si>
  <si>
    <t>FC-LGN-003</t>
  </si>
  <si>
    <t>Login gagal - kombinasi email dan password salah</t>
  </si>
  <si>
    <t>1. Buka aplikasi Firebase Chat
2. Masukkan email terdaftar dengan password yang salah
3. Tekan tombol "LOGIN"</t>
  </si>
  <si>
    <t>1. Menampilkan Toast "Authentication failed"
2. User tetap berada di halaman Login</t>
  </si>
  <si>
    <t>FC-LGN-004</t>
  </si>
  <si>
    <t>Google Sign-In</t>
  </si>
  <si>
    <t>Login menggunakan akun Google berhasil</t>
  </si>
  <si>
    <t>1. Buka aplikasi Firebase Chat
2. Tekan tombol "Continue with Google Account"
3. Pilih akun Google yang valid pada dialog pemilihan akun</t>
  </si>
  <si>
    <t>1. Sistem membuat/menyinkronkan data user pada Firestore (users/{uid})
2. User diarahkan ke halaman Main (Daftar Percakapan)</t>
  </si>
  <si>
    <t>User dengan akun Google</t>
  </si>
  <si>
    <t>FC-LGN-005</t>
  </si>
  <si>
    <t>Login menggunakan akun Google dibatalkan oleh user</t>
  </si>
  <si>
    <t>1. Buka aplikasi Firebase Chat
2. Tekan tombol "Continue with Google Account"
3. Tutup/batalkan dialog pemilihan akun Google</t>
  </si>
  <si>
    <t>1. Menampilkan pesan kegagalan sign-in
2. User tetap berada di halaman Login</t>
  </si>
  <si>
    <t>FC-LGN-006</t>
  </si>
  <si>
    <t>Navigasi</t>
  </si>
  <si>
    <t>Navigasi ke halaman Register melalui tombol "Daftar"</t>
  </si>
  <si>
    <t>1. Buka aplikasi Firebase Chat
2. Tekan tombol/link "Daftar"</t>
  </si>
  <si>
    <t>1. User diarahkan ke halaman Register</t>
  </si>
  <si>
    <t>User Baru</t>
  </si>
  <si>
    <t>FC-LGN-007</t>
  </si>
  <si>
    <t>Sesi Login (Auto Login)</t>
  </si>
  <si>
    <t>Sesi login tersimpan (auto-login) saat aplikasi dibuka kembali</t>
  </si>
  <si>
    <t>1. Login berhasil ke dalam aplikasi
2. Tutup aplikasi sepenuhnya (force close)
3. Buka kembali aplikasi Firebase Chat</t>
  </si>
  <si>
    <t>1. User langsung diarahkan ke halaman Main tanpa perlu mengisi form login kembali</t>
  </si>
  <si>
    <t>Register</t>
  </si>
  <si>
    <t>FC-REG-001</t>
  </si>
  <si>
    <t>Registrasi akun baru berhasil dengan data valid</t>
  </si>
  <si>
    <t>1. Buka halaman Register
2. Isi Nama, Email, Password, dan Konfirmasi Password dengan data valid
3. Tekan tombol "Daftar"</t>
  </si>
  <si>
    <t>1. Akun baru berhasil dibuat pada Firebase Authentication dan Firestore (users/{uid})
2. User diarahkan ke halaman Main (Daftar Percakapan)</t>
  </si>
  <si>
    <t>FC-REG-002</t>
  </si>
  <si>
    <t>Registrasi gagal - Email atau Password dikosongkan</t>
  </si>
  <si>
    <t>1. Buka halaman Register
2. Kosongkan salah satu atau kedua field Email/Password
3. Tekan tombol "Daftar"</t>
  </si>
  <si>
    <t>1. Menampilkan Toast "email or password is invalid."
2. User tetap berada di halaman Register</t>
  </si>
  <si>
    <t>FC-REG-003</t>
  </si>
  <si>
    <t>Konfirmasi Password</t>
  </si>
  <si>
    <t>Registrasi tetap berhasil meski Konfirmasi Password diisi berbeda dari Password</t>
  </si>
  <si>
    <t>1. Buka halaman Register
2. Isi Nama dan Email dengan data valid
3. Isi Password dan Konfirmasi Password dengan nilai yang berbeda
4. Tekan tombol "Daftar"</t>
  </si>
  <si>
    <t>1. Sistem menampilkan pesan kesalahan bahwa Password dan Konfirmasi Password tidak sama
2. Proses registrasi dibatalkan</t>
  </si>
  <si>
    <t>FC-REG-004</t>
  </si>
  <si>
    <t>Registrasi gagal - email sudah pernah didaftarkan sebelumnya</t>
  </si>
  <si>
    <t>1. Buka halaman Register
2. Isi form dengan email yang sudah terdaftar
3. Tekan tombol "Daftar"</t>
  </si>
  <si>
    <t>1. Menampilkan pesan kesalahan yang menjelaskan email sudah digunakan
2. Registrasi dibatalkan, user tetap berada di halaman Register</t>
  </si>
  <si>
    <t>FC-REG-005</t>
  </si>
  <si>
    <t>Tombol "Continue with Google Account" pada halaman Register dapat digunakan untuk mendaftar</t>
  </si>
  <si>
    <t>1. Buka halaman Register
2. Tekan tombol "Continue with Google Account"
3. Pilih akun Google</t>
  </si>
  <si>
    <t>1. Akun berhasil terdaftar/login menggunakan akun Google yang dipilih
2. User diarahkan ke halaman Main</t>
  </si>
  <si>
    <t>FC-REG-006</t>
  </si>
  <si>
    <t>Navigasi kembali ke halaman Login melalui tombol "LOGIN"</t>
  </si>
  <si>
    <t>1. Buka halaman Register
2. Tekan tombol "LOGIN"</t>
  </si>
  <si>
    <t>1. User diarahkan kembali ke halaman Login</t>
  </si>
  <si>
    <t>Main - Daftar Percakapan</t>
  </si>
  <si>
    <t>FC-MN-001</t>
  </si>
  <si>
    <t>Main</t>
  </si>
  <si>
    <t>Daftar Percakapan</t>
  </si>
  <si>
    <t>Pengurutan Percakapan</t>
  </si>
  <si>
    <t>Menampilkan daftar percakapan diurutkan dari pesan terbaru</t>
  </si>
  <si>
    <t>1. Login ke dalam aplikasi dengan akun yang memiliki lebih dari satu percakapan
2. Amati urutan daftar percakapan pada halaman Main</t>
  </si>
  <si>
    <t>1. Percakapan dengan pesan terakhir paling baru ditampilkan paling atas</t>
  </si>
  <si>
    <t>FC-MN-002</t>
  </si>
  <si>
    <t>Empty State</t>
  </si>
  <si>
    <t>Halaman Main tidak menampilkan pesan/tampilan khusus saat user belum memiliki percakapan</t>
  </si>
  <si>
    <t>1. Login dengan akun baru yang belum memiliki percakapan apapun
2. Amati tampilan halaman Main</t>
  </si>
  <si>
    <t>1. Menampilkan pesan/ilustrasi "Belum ada percakapan" pada area daftar percakapan</t>
  </si>
  <si>
    <t>FC-MN-003</t>
  </si>
  <si>
    <t>Navigasi ke Profil</t>
  </si>
  <si>
    <t>Membuka halaman Profil sendiri melalui avatar pada header</t>
  </si>
  <si>
    <t>1. Login ke dalam aplikasi
2. Tekan avatar user pada bagian header halaman Main</t>
  </si>
  <si>
    <t>1. User diarahkan ke halaman Profil miliknya sendiri (nama, email, avatar sesuai akun yang login)</t>
  </si>
  <si>
    <t>FC-MN-004</t>
  </si>
  <si>
    <t>Navigasi ke Buat Chat</t>
  </si>
  <si>
    <t>Membuka halaman Buat Chat Baru melalui tombol FAB</t>
  </si>
  <si>
    <t>1. Login ke dalam aplikasi
2. Tekan tombol FAB (ikon chat bubble)</t>
  </si>
  <si>
    <t>1. User diarahkan ke halaman Daftar Pengguna (Buat Chat Baru)</t>
  </si>
  <si>
    <t>FC-MN-005</t>
  </si>
  <si>
    <t>Real-time - Typing Indicator</t>
  </si>
  <si>
    <t>Menampilkan indikator "typing..." pada item percakapan saat lawan bicara sedang mengetik</t>
  </si>
  <si>
    <t>1. Login dengan User A, buka halaman Main
2. Dari perangkat lain, login dengan User B yang memiliki percakapan dengan User A
3. User B mengetik pesan pada ruang obrolan (tanpa mengirim)
4. Amati item percakapan User B pada halaman Main milik User A</t>
  </si>
  <si>
    <t>1. Subtitle item percakapan menampilkan "typing..." selama User B mengetik</t>
  </si>
  <si>
    <t>User A &amp; User B</t>
  </si>
  <si>
    <t>FC-MN-006</t>
  </si>
  <si>
    <t>Real-time - Unread Badge</t>
  </si>
  <si>
    <t>Menampilkan badge jumlah pesan belum dibaca (unread count)</t>
  </si>
  <si>
    <t>1. Login dengan User A
2. Dari perangkat lain, User B mengirimkan beberapa pesan ke User A tanpa dibuka User A
3. Amati halaman Main milik User A</t>
  </si>
  <si>
    <t>1. Item percakapan menampilkan badge jumlah pesan sesuai jumlah pesan yang belum dibaca</t>
  </si>
  <si>
    <t>FC-MN-007</t>
  </si>
  <si>
    <t>Real-time - Read Receipt</t>
  </si>
  <si>
    <t>Menampilkan status centang (sent/read) pada percakapan personal yang dikirim user</t>
  </si>
  <si>
    <t>1. Login dengan User A dan kirim pesan ke User B
2. Amati item percakapan pada halaman Main milik User A sebelum dan sesudah User B membuka &amp; membaca pesan</t>
  </si>
  <si>
    <t>1. Status centang tunggal (sent) tampil sebelum dibaca, berubah menjadi centang ganda hijau (read) setelah User B membuka percakapan</t>
  </si>
  <si>
    <t>FC-MN-008</t>
  </si>
  <si>
    <t>Izin Notifikasi</t>
  </si>
  <si>
    <t>Izin notifikasi tidak diminta berulang setiap kali halaman Main dibuka</t>
  </si>
  <si>
    <t>1. Login ke dalam aplikasi (izin notifikasi sudah diberikan sebelumnya)
2. Tutup dan buka kembali halaman Main beberapa kali</t>
  </si>
  <si>
    <t>1. Permintaan/pengecekan izin notifikasi hanya dilakukan sekali (saat pertama kali dibutuhkan), tidak berulang setiap halaman Main dibuka</t>
  </si>
  <si>
    <t>Buat Chat Baru - Daftar Pengguna</t>
  </si>
  <si>
    <t>FC-NCU-001</t>
  </si>
  <si>
    <t>Buat Chat Baru</t>
  </si>
  <si>
    <t>Daftar Pengguna</t>
  </si>
  <si>
    <t>Tampilkan Daftar User</t>
  </si>
  <si>
    <t>Menampilkan seluruh pengguna terdaftar kecuali diri sendiri</t>
  </si>
  <si>
    <t>1. Buka halaman Buat Chat Baru dari tombol FAB</t>
  </si>
  <si>
    <t>1. Daftar "Users on ChitChat" menampilkan seluruh user terdaftar selain user yang sedang login</t>
  </si>
  <si>
    <t>FC-NCU-002</t>
  </si>
  <si>
    <t>Mulai Chat Personal</t>
  </si>
  <si>
    <t>Memilih salah satu pengguna untuk memulai percakapan personal</t>
  </si>
  <si>
    <t>1. Buka halaman Daftar Pengguna
2. Tekan salah satu user pada daftar</t>
  </si>
  <si>
    <t>1. User diarahkan ke Ruang Obrolan Personal dengan user yang dipilih</t>
  </si>
  <si>
    <t>FC-NCU-003</t>
  </si>
  <si>
    <t>Chat Belum Tersimpan</t>
  </si>
  <si>
    <t>Percakapan tidak tersimpan jika user keluar dari ruang obrolan tanpa mengirim pesan apapun</t>
  </si>
  <si>
    <t>1. Buka Ruang Obrolan Personal dengan user baru (belum pernah chat sebelumnya) dari Daftar Pengguna
2. Keluar dari ruang obrolan tanpa mengetik/mengirim pesan apapun
3. Amati halaman Main milik kedua user</t>
  </si>
  <si>
    <t>1. Tidak ada percakapan baru yang muncul pada halaman Main milik kedua user (percakapan baru tercipta hanya setelah pesan pertama benar-benar terkirim)</t>
  </si>
  <si>
    <t>FC-NCU-004</t>
  </si>
  <si>
    <t>Navigasi ke New Group</t>
  </si>
  <si>
    <t>Tombol "New Group" mengarahkan ke halaman Pilih Partisipan</t>
  </si>
  <si>
    <t>1. Buka halaman Daftar Pengguna
2. Tekan tombol "New Group"</t>
  </si>
  <si>
    <t>1. User diarahkan ke halaman Pilih Partisipan (pemilihan anggota grup baru)</t>
  </si>
  <si>
    <t>Buat Chat Baru - Pilih Partisipan</t>
  </si>
  <si>
    <t>FC-NCP-001</t>
  </si>
  <si>
    <t>Pilih Partisipan</t>
  </si>
  <si>
    <t>Memilih beberapa pengguna sebagai partisipan grup baru</t>
  </si>
  <si>
    <t>1. Buka halaman Pilih Partisipan
2. Tekan beberapa user pada daftar untuk memilihnya</t>
  </si>
  <si>
    <t>1. User yang dipilih muncul sebagai chip pada daftar horizontal "Selected User"
2. Tombol "Next" muncul setelah minimal 1 user dipilih</t>
  </si>
  <si>
    <t>FC-NCP-002</t>
  </si>
  <si>
    <t>Tombol Next</t>
  </si>
  <si>
    <t>Tombol "Next" tidak tampil saat belum ada partisipan yang dipilih</t>
  </si>
  <si>
    <t>1. Buka halaman Pilih Partisipan
2. Amati tampilan tanpa memilih user apapun</t>
  </si>
  <si>
    <t>1. Tombol "Next" tersembunyi selama belum ada user yang dipilih</t>
  </si>
  <si>
    <t>FC-NCP-003</t>
  </si>
  <si>
    <t>Batalkan Pilihan</t>
  </si>
  <si>
    <t>Membatalkan pilihan user dengan menekan kembali chip user terpilih</t>
  </si>
  <si>
    <t>1. Buka halaman Pilih Partisipan dan pilih salah satu user
2. Tekan kembali chip user tersebut pada daftar horizontal "Selected User" atau tekan kembali user pada daftar</t>
  </si>
  <si>
    <t>1. User tersebut terhapus dari daftar terpilih
2. Tombol "Next" kembali tersembunyi jika tidak ada user lain yang masih terpilih</t>
  </si>
  <si>
    <t>FC-NCP-004</t>
  </si>
  <si>
    <t>Tambah Partisipan ke Grup</t>
  </si>
  <si>
    <t>Menambahkan partisipan baru ke grup yang sudah ada</t>
  </si>
  <si>
    <t>1. Buka Profil Grup sebagai pembuat grup
2. Tekan tombol "Add Participant"
3. Pilih satu atau lebih user baru
4. Tekan tombol "Next"</t>
  </si>
  <si>
    <t>1. Menampilkan Toast "Success Adding new Participant"
2. User yang ditambahkan langsung tergabung sebagai partisipan grup</t>
  </si>
  <si>
    <t>User Pembuat Grup</t>
  </si>
  <si>
    <t>FC-NCP-005</t>
  </si>
  <si>
    <t>Filter Anggota Existing</t>
  </si>
  <si>
    <t>Daftar pengguna pada mode "Add Participant" tidak menampilkan anggota grup yang sudah tergabung</t>
  </si>
  <si>
    <t>1. Buka Profil Grup sebagai pembuat grup
2. Tekan tombol "Add Participant"
3. Amati daftar user yang ditampilkan</t>
  </si>
  <si>
    <t>1. User yang sudah menjadi anggota grup tidak muncul pada daftar pilihan</t>
  </si>
  <si>
    <t>Buat Chat Baru - Setup Grup</t>
  </si>
  <si>
    <t>FC-NCG-001</t>
  </si>
  <si>
    <t>Setup Grup</t>
  </si>
  <si>
    <t>Buat Grup</t>
  </si>
  <si>
    <t>Membuat grup baru dengan nama grup dan foto valid</t>
  </si>
  <si>
    <t>1. Pilih minimal 1 partisipan pada halaman Pilih Partisipan, tekan "Next"
2. Isi Group Name dengan nama yang valid
3. Tekan area avatar grup, ambil/pilih foto grup
4. Tekan tombol "Create Group"</t>
  </si>
  <si>
    <t>1. Grup baru berhasil dibuat dan langsung tampil pada halaman Main seluruh anggota
2. Item percakapan grup menampilkan pesan "You created this group" (bagi pembuat) atau "Someone added you" (bagi anggota lain)</t>
  </si>
  <si>
    <t>FC-NCG-002</t>
  </si>
  <si>
    <t>Validasi Nama Grup</t>
  </si>
  <si>
    <t>Membuat grup gagal - Group Name dikosongkan</t>
  </si>
  <si>
    <t>1. Pilih partisipan, tekan "Next"
2. Kosongkan field Group Name
3. Tekan tombol "Create Group"</t>
  </si>
  <si>
    <t>1. Menampilkan error inline pada field Group Name: "Please input the group name"
2. Grup tidak dibuat</t>
  </si>
  <si>
    <t>FC-NCG-003</t>
  </si>
  <si>
    <t>Total Member</t>
  </si>
  <si>
    <t>Menampilkan total anggota grup termasuk diri sendiri</t>
  </si>
  <si>
    <t>1. Pilih beberapa partisipan (misal 3 user), tekan "Next"
2. Amati label "Total Member" pada halaman Setup Grup</t>
  </si>
  <si>
    <t>1. Menampilkan "4 (Including You)" (jumlah partisipan dipilih + 1 pembuat)</t>
  </si>
  <si>
    <t>FC-NCG-004</t>
  </si>
  <si>
    <t>Foto Grup via Kamera</t>
  </si>
  <si>
    <t>Mengambil foto grup melalui kamera</t>
  </si>
  <si>
    <t>1. Buka halaman Setup Grup
2. Tekan area avatar grup untuk membuka kamera
3. Berikan izin kamera jika diminta, ambil foto</t>
  </si>
  <si>
    <t>1. Foto hasil jepretan tampil sebagai avatar grup pada halaman Setup Grup</t>
  </si>
  <si>
    <t>FC-NCG-005</t>
  </si>
  <si>
    <t>Loading Indicator</t>
  </si>
  <si>
    <t>Menampilkan indikator loading saat proses pembuatan grup berlangsung</t>
  </si>
  <si>
    <t>1. Isi Group Name dan foto grup
2. Tekan tombol "Create Group" pada koneksi internet yang lambat</t>
  </si>
  <si>
    <t>1. Menampilkan indikator loading (progress bar) selama proses pembuatan grup &amp; unggah foto berlangsung</t>
  </si>
  <si>
    <t>Ruang Obrolan - Personal</t>
  </si>
  <si>
    <t>FC-CRP-001</t>
  </si>
  <si>
    <t>Ruang Obrolan</t>
  </si>
  <si>
    <t>Personal</t>
  </si>
  <si>
    <t>Kirim Pesan Pertama</t>
  </si>
  <si>
    <t>Mengirim pesan teks pertama kali membuat ruang obrolan baru</t>
  </si>
  <si>
    <t>1. Pilih user baru dari Daftar Pengguna (belum pernah chat)
2. Ketik pesan pada kolom teks
3. Tekan tombol kirim</t>
  </si>
  <si>
    <t>1. Menampilkan Toast "Chat Room Created"
2. Pesan berhasil terkirim dan tampil pada ruang obrolan
3. Percakapan baru muncul pada halaman Main kedua user</t>
  </si>
  <si>
    <t>FC-CRP-002</t>
  </si>
  <si>
    <t>Kirim Pesan Lanjutan</t>
  </si>
  <si>
    <t>Mengirim pesan teks pada percakapan personal yang sudah ada</t>
  </si>
  <si>
    <t>1. Buka ruang obrolan personal yang sudah memiliki riwayat pesan
2. Ketik pesan baru, tekan tombol kirim</t>
  </si>
  <si>
    <t>1. Pesan baru langsung tampil di bagian bawah daftar pesan
2. Item percakapan pada halaman Main kedua user ter-update dengan pesan terbaru</t>
  </si>
  <si>
    <t>FC-CRP-003</t>
  </si>
  <si>
    <t>Validasi Pesan Kosong</t>
  </si>
  <si>
    <t>Tombol kirim tidak mengirim apapun saat kolom pesan kosong</t>
  </si>
  <si>
    <t>1. Buka ruang obrolan personal
2. Biarkan kolom pesan kosong
3. Tekan tombol kirim</t>
  </si>
  <si>
    <t>1. Tidak ada pesan yang terkirim, tidak ada perubahan pada daftar pesan</t>
  </si>
  <si>
    <t>FC-CRP-004</t>
  </si>
  <si>
    <t>Kirim Gambar</t>
  </si>
  <si>
    <t>Mengirim gambar melalui galeri beserta caption</t>
  </si>
  <si>
    <t>1. Buka ruang obrolan personal
2. Tekan tombol lampiran (ikon paperclip) &gt; Gallery
3. Pilih satu gambar, isi caption pada kolom pesan
4. Tekan tombol kirim</t>
  </si>
  <si>
    <t>1. Gambar dan caption berhasil terkirim dan tampil sebagai bubble pesan bergambar</t>
  </si>
  <si>
    <t>FC-CRP-005</t>
  </si>
  <si>
    <t>Caption Gambar Kosong</t>
  </si>
  <si>
    <t>Gambar tetap dapat dikirim meski caption dikosongkan</t>
  </si>
  <si>
    <t>1. Buka ruang obrolan personal
2. Pilih gambar melalui Gallery
3. Biarkan kolom caption kosong
4. Tekan tombol kirim</t>
  </si>
  <si>
    <t>1. Gambar tetap dapat terkirim tanpa caption (caption bersifat opsional)</t>
  </si>
  <si>
    <t>FC-CRP-006</t>
  </si>
  <si>
    <t>Status Online/Typing/Last Seen</t>
  </si>
  <si>
    <t>Status "Online" / "Typing..." / "Last Online at" tampil sesuai kondisi lawan bicara</t>
  </si>
  <si>
    <t>1. Buka ruang obrolan dengan User B dalam kondisi online, lalu mengetik, lalu offline
2. Amati subtitle app bar pada masing-masing kondisi</t>
  </si>
  <si>
    <t>1. Subtitle menampilkan "Typing..." saat User B mengetik, "Online" saat User B aktif tanpa mengetik, dan "Last Online at {waktu}" saat User B tidak aktif</t>
  </si>
  <si>
    <t>FC-CRP-007</t>
  </si>
  <si>
    <t>Read Receipt Otomatis</t>
  </si>
  <si>
    <t>Pesan yang diterima otomatis ditandai sudah dibaca saat ruang obrolan dibuka</t>
  </si>
  <si>
    <t>1. User B mengirim pesan ke User A saat User A belum membuka ruang obrolan
2. User A membuka ruang obrolan tersebut</t>
  </si>
  <si>
    <t>1. Seluruh pesan yang termuat langsung berstatus "read" (ditandai waktu baca) begitu ruang obrolan dibuka, tanpa perlu discroll ke pesan tersebut</t>
  </si>
  <si>
    <t>FC-CRP-008</t>
  </si>
  <si>
    <t>Info Pesan</t>
  </si>
  <si>
    <t>Melihat info pengiriman (Delivered/Read) pada pesan yang dikirim sendiri</t>
  </si>
  <si>
    <t>1. Kirim pesan pada ruang obrolan personal
2. Tekan lama (long-press) pesan tersebut untuk memilihnya
3. Tekan tombol info</t>
  </si>
  <si>
    <t>1. Menampilkan halaman Info Pesan dengan waktu Delivered dan Read</t>
  </si>
  <si>
    <t>FC-CRP-009</t>
  </si>
  <si>
    <t>Tombol Reply &amp; Star</t>
  </si>
  <si>
    <t>Tombol Reply dan Star pada pesan terpilih memberikan aksi sesuai fungsinya</t>
  </si>
  <si>
    <t>1. Tekan lama sebuah pesan untuk memilihnya
2. Tekan ikon Reply, kemudian tekan ikon Star</t>
  </si>
  <si>
    <t>1. Fitur Reply menampilkan kolom balasan yang mengacu pada pesan asal
2. Fitur Star menandai pesan sebagai favorit</t>
  </si>
  <si>
    <t>FC-CRP-010</t>
  </si>
  <si>
    <t>Ambil Foto via Kamera</t>
  </si>
  <si>
    <t>Pratinjau gambar tidak muncul jika pengambilan foto melalui kamera dibatalkan</t>
  </si>
  <si>
    <t>1. Tekan tombol lampiran &gt; Camera
2. Berikan izin kamera jika diminta
3. Batalkan pengambilan foto (tekan tombol back pada aplikasi kamera) sebelum foto diambil</t>
  </si>
  <si>
    <t>1. Tidak ada pratinjau gambar yang muncul pada ruang obrolan karena tidak ada foto yang diambil</t>
  </si>
  <si>
    <t>FC-CRP-011</t>
  </si>
  <si>
    <t>Kirim Video</t>
  </si>
  <si>
    <t>Mengirim video dari galeri</t>
  </si>
  <si>
    <t>1. Tekan tombol lampiran &gt; Video
2. Pilih salah satu video dari galeri
3. Isi caption, tekan tombol kirim</t>
  </si>
  <si>
    <t>1. Video dan caption berhasil terkirim dan dapat diputar pada ruang obrolan</t>
  </si>
  <si>
    <t>FC-CRP-012</t>
  </si>
  <si>
    <t>Tombol Location &amp; Emoji</t>
  </si>
  <si>
    <t>Tombol Location dan Emoji pada menu lampiran memberikan respon sesuai fungsinya</t>
  </si>
  <si>
    <t>1. Tekan tombol lampiran (paperclip)
2. Tekan tombol Location, lalu tekan tombol Emoji</t>
  </si>
  <si>
    <t>1. Tombol Location membuka fitur berbagi lokasi
2. Tombol Emoji membuka picker emoji</t>
  </si>
  <si>
    <t>Ruang Obrolan - Grup</t>
  </si>
  <si>
    <t>FC-CRG-001</t>
  </si>
  <si>
    <t>Grup</t>
  </si>
  <si>
    <t>Kirim Pesan Grup</t>
  </si>
  <si>
    <t>Mengirim pesan teks dalam ruang obrolan grup</t>
  </si>
  <si>
    <t>1. Buka ruang obrolan grup
2. Ketik pesan, tekan tombol kirim</t>
  </si>
  <si>
    <t>1. Pesan tampil pada ruang obrolan lengkap dengan nama &amp; avatar pengirim
2. Seluruh anggota grup menerima notifikasi push pesan baru</t>
  </si>
  <si>
    <t>Anggota Grup</t>
  </si>
  <si>
    <t>FC-CRG-002</t>
  </si>
  <si>
    <t>Subtitle - Typing</t>
  </si>
  <si>
    <t>Subtitle app bar menampilkan nama anggota yang sedang mengetik</t>
  </si>
  <si>
    <t>1. Buka ruang obrolan grup
2. Salah satu anggota lain mengetik pesan (tanpa mengirim)</t>
  </si>
  <si>
    <t>1. Subtitle app bar menampilkan "{nama anggota} is typing..."</t>
  </si>
  <si>
    <t>FC-CRG-003</t>
  </si>
  <si>
    <t>Subtitle - Daftar Partisipan</t>
  </si>
  <si>
    <t>Subtitle app bar menampilkan daftar nama partisipan saat tidak ada yang sedang mengetik</t>
  </si>
  <si>
    <t>1. Buka ruang obrolan grup saat tidak ada anggota yang sedang mengetik</t>
  </si>
  <si>
    <t>1. Subtitle app bar menampilkan daftar nama seluruh partisipan dipisahkan koma</t>
  </si>
  <si>
    <t>FC-CRG-004</t>
  </si>
  <si>
    <t>Read Receipt Grup</t>
  </si>
  <si>
    <t>Status pesan menjadi "read" hanya setelah seluruh anggota grup membaca pesan</t>
  </si>
  <si>
    <t>1. Kirim pesan pada grup beranggotakan lebih dari 2 orang
2. Sebagian anggota membuka &amp; membaca pesan, sebagian belum
3. Amati status centang pesan</t>
  </si>
  <si>
    <t>1. Status pesan tetap centang tunggal (belum "read" penuh) selama belum seluruh anggota lain membaca; berubah centang hijau ganda hanya setelah seluruh anggota membaca</t>
  </si>
  <si>
    <t>FC-CRG-005</t>
  </si>
  <si>
    <t>Navigasi ke Profil Grup</t>
  </si>
  <si>
    <t>Membuka Profil Grup melalui area nama/avatar grup pada app bar</t>
  </si>
  <si>
    <t>1. Buka ruang obrolan grup
2. Tekan area nama/avatar grup pada app bar</t>
  </si>
  <si>
    <t>1. User diarahkan ke halaman Profil Grup</t>
  </si>
  <si>
    <t>FC-CRG-006</t>
  </si>
  <si>
    <t>Lampiran Gallery/Video/Location</t>
  </si>
  <si>
    <t>Tombol Gallery, Video, dan Location pada menu lampiran ruang obrolan grup memberikan respon sesuai fungsinya</t>
  </si>
  <si>
    <t>1. Buka ruang obrolan grup
2. Tekan tombol lampiran, lalu tekan Gallery, Video, dan Location satu per satu</t>
  </si>
  <si>
    <t>1. Gallery membuka pemilih gambar
2. Video membuka pemilih video
3. Location membuka fitur berbagi lokasi</t>
  </si>
  <si>
    <t>FC-CRG-007</t>
  </si>
  <si>
    <t>Reset Unread Count</t>
  </si>
  <si>
    <t>Jumlah pesan belum dibaca (unread) direset saat keluar dari ruang obrolan grup</t>
  </si>
  <si>
    <t>1. Buka ruang obrolan grup yang memiliki pesan belum dibaca
2. Keluar dari ruang obrolan (tekan tombol back)
3. Amati badge unread pada halaman Main</t>
  </si>
  <si>
    <t>1. Badge unread untuk grup tersebut hilang/menjadi 0</t>
  </si>
  <si>
    <t>Profil Grup</t>
  </si>
  <si>
    <t>FC-GPR-001</t>
  </si>
  <si>
    <t>Info Grup</t>
  </si>
  <si>
    <t>Menampilkan informasi grup (avatar, nama, jumlah partisipan, pembuat grup)</t>
  </si>
  <si>
    <t>1. Buka Profil Grup dari ruang obrolan grup</t>
  </si>
  <si>
    <t>1. Menampilkan avatar grup, nama grup, "Participants (N)", "Created by {nama pembuat}", dan waktu grup dibuat</t>
  </si>
  <si>
    <t>FC-GPR-002</t>
  </si>
  <si>
    <t>Add Participant - Pembuat</t>
  </si>
  <si>
    <t>Tombol "Add Participant" tampil bagi pembuat grup</t>
  </si>
  <si>
    <t>1. Buka Profil Grup sebagai user yang membuat grup tersebut</t>
  </si>
  <si>
    <t>1. Tombol "Add Participant" tampil dan dapat ditekan</t>
  </si>
  <si>
    <t>FC-GPR-003</t>
  </si>
  <si>
    <t>Add Participant - Anggota</t>
  </si>
  <si>
    <t>Tombol "Add Participant" tidak tampil bagi anggota grup selain pembuat</t>
  </si>
  <si>
    <t>1. Buka Profil Grup sebagai anggota yang bukan pembuat grup</t>
  </si>
  <si>
    <t>1. Tombol "Add Participant" tidak ditampilkan</t>
  </si>
  <si>
    <t>Anggota Grup (Non-Pembuat)</t>
  </si>
  <si>
    <t>FC-GPR-004</t>
  </si>
  <si>
    <t>Klik Partisipan</t>
  </si>
  <si>
    <t>Menekan salah satu partisipan pada daftar anggota grup membuka profilnya</t>
  </si>
  <si>
    <t>1. Buka Profil Grup
2. Tekan salah satu nama partisipan pada daftar anggota</t>
  </si>
  <si>
    <t>1. User diarahkan ke halaman Profil partisipan yang dipilih</t>
  </si>
  <si>
    <t>FC-GPR-005</t>
  </si>
  <si>
    <t>Deskripsi Grup</t>
  </si>
  <si>
    <t>Bagian "Description" pada Profil Grup menampilkan deskripsi grup</t>
  </si>
  <si>
    <t>1. Buka Profil Grup pada grup manapun
2. Amati bagian "Description"</t>
  </si>
  <si>
    <t>1. Bagian Description menampilkan deskripsi grup yang telah diisi/diatur pembuat grup</t>
  </si>
  <si>
    <t>FC-MIF-001</t>
  </si>
  <si>
    <t>Info Personal</t>
  </si>
  <si>
    <t>Menampilkan waktu Delivered dan Read pada percakapan personal</t>
  </si>
  <si>
    <t>1. Kirim pesan pada ruang obrolan personal
2. Pilih pesan tersebut, tekan tombol info</t>
  </si>
  <si>
    <t>1. Menampilkan waktu Delivered dan waktu Read (atau "-" jika belum terjadi)</t>
  </si>
  <si>
    <t>FC-MIF-002</t>
  </si>
  <si>
    <t>Status Delivered</t>
  </si>
  <si>
    <t>Status "Delivered" terisi sebelum status "Read" pada Info Pesan</t>
  </si>
  <si>
    <t>1. Kirim pesan pada ruang obrolan personal, tunggu hingga penerima membaca pesan
2. Buka Info Pesan pesan tersebut</t>
  </si>
  <si>
    <t>1. Waktu Delivered terisi terlebih dahulu sesaat setelah pesan diterima perangkat penerima, sebelum status Read terisi</t>
  </si>
  <si>
    <t>FC-MIF-003</t>
  </si>
  <si>
    <t>Info Grup - Read By</t>
  </si>
  <si>
    <t>Menampilkan daftar "Read By" pada percakapan grup</t>
  </si>
  <si>
    <t>1. Kirim pesan pada ruang obrolan grup
2. Pilih pesan tersebut, tekan tombol info</t>
  </si>
  <si>
    <t>1. Menampilkan daftar seluruh partisipan grup beserta waktu baca masing-masing (atau "-" jika belum membaca)</t>
  </si>
  <si>
    <t>User Pembuat Pesan</t>
  </si>
  <si>
    <t>FC-MIF-004</t>
  </si>
  <si>
    <t>Akses Terbatas Pengirim</t>
  </si>
  <si>
    <t>Info Pesan hanya dapat diakses untuk pesan yang dikirim oleh diri sendiri</t>
  </si>
  <si>
    <t>1. Buka ruang obrolan (personal/grup)
2. Tekan lama pesan yang dikirim oleh lawan bicara/anggota lain</t>
  </si>
  <si>
    <t>1. Tombol info tidak tersedia/tersembunyi untuk pesan yang bukan dikirim oleh diri sendiri</t>
  </si>
  <si>
    <t>Lihat Gambar Layar Penuh</t>
  </si>
  <si>
    <t>FC-FSI-001</t>
  </si>
  <si>
    <t>Tampilan Gambar Penuh</t>
  </si>
  <si>
    <t>Menampilkan gambar resolusi penuh beserta caption, nama pengirim, dan waktu kirim</t>
  </si>
  <si>
    <t>1. Buka ruang obrolan yang memiliki pesan bergambar
2. Tekan thumbnail gambar pada bubble pesan</t>
  </si>
  <si>
    <t>1. Gambar tampil dalam resolusi penuh satu layar, disertai caption, nama pengirim, dan waktu kirim</t>
  </si>
  <si>
    <t>FC-FSI-002</t>
  </si>
  <si>
    <t>Navigasi Back</t>
  </si>
  <si>
    <t>Kembali ke ruang obrolan melalui tombol back pada halaman Lihat Gambar</t>
  </si>
  <si>
    <t>1. Buka gambar layar penuh dari sebuah pesan
2. Tekan tombol back</t>
  </si>
  <si>
    <t>1. User kembali ke ruang obrolan pada posisi pesan bergambar tersebut</t>
  </si>
  <si>
    <t>Profil Pengguna</t>
  </si>
  <si>
    <t>FC-PRF-001</t>
  </si>
  <si>
    <t>Lihat Profil Lawan Bicara</t>
  </si>
  <si>
    <t>Menampilkan profil pengguna lain (lawan bicara)</t>
  </si>
  <si>
    <t>1. Buka ruang obrolan personal
2. Tekan avatar/nama lawan bicara pada app bar</t>
  </si>
  <si>
    <t>1. Menampilkan avatar, nama, dan email milik lawan bicara (data bersifat read-only)</t>
  </si>
  <si>
    <t>FC-PRF-002</t>
  </si>
  <si>
    <t>Lihat Profil Sendiri</t>
  </si>
  <si>
    <t>Menampilkan profil diri sendiri melalui avatar pada halaman Main</t>
  </si>
  <si>
    <t>1. Tekan avatar sendiri pada halaman Main</t>
  </si>
  <si>
    <t>1. Menampilkan avatar, nama, dan email milik akun yang sedang login</t>
  </si>
  <si>
    <t>FC-PRF-003</t>
  </si>
  <si>
    <t>Tombol Logout - Profil Lain</t>
  </si>
  <si>
    <t>Tombol Logout tidak tersedia pada halaman profil milik user lain</t>
  </si>
  <si>
    <t>1. Login sebagai User A
2. Buka profil User B (lawan bicara) melalui ruang obrolan
3. Tekan tombol "Logout" pada halaman profil User B</t>
  </si>
  <si>
    <t>1. Tombol Logout tidak tersedia pada halaman profil milik user lain (hanya tersedia pada profil milik sendiri)</t>
  </si>
  <si>
    <t>User A</t>
  </si>
  <si>
    <t>FC-PRF-004</t>
  </si>
  <si>
    <t>Logout Berhasil</t>
  </si>
  <si>
    <t>Logout berhasil mengarahkan ke halaman Login dan menghapus sesi</t>
  </si>
  <si>
    <t>1. Buka halaman Profil milik sendiri
2. Tekan tombol "Logout"</t>
  </si>
  <si>
    <t>1. Status online user diubah menjadi false pada Firestore
2. Seluruh data sesi lokal (SharedPreferences) dihapus
3. User diarahkan ke halaman Login dan tidak dapat kembali ke halaman sebelumnya melalui tombol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</si>
</sst>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d&quot;, &quot;dd\ mmm"/>
    <numFmt numFmtId="165" formatCode="ddd&quot;, &quot;dd\ mmm&quot; / &quot;hh\:mm"/>
    <numFmt numFmtId="166" formatCode="m/d/yyyy"/>
  </numFmts>
  <fonts count="20">
    <font>
      <sz val="10"/>
      <color rgb="FF000000"/>
      <name val="Arial"/>
      <charset val="1"/>
    </font>
    <font>
      <b/>
      <sz val="10"/>
      <color theme="1"/>
      <name val="Proxima Nova"/>
      <charset val="1"/>
    </font>
    <font>
      <sz val="10"/>
      <color theme="1"/>
      <name val="Arial"/>
      <charset val="1"/>
    </font>
    <font>
      <b/>
      <u/>
      <sz val="10"/>
      <color rgb="FF1155CC"/>
      <name val="Proxima Nova"/>
      <charset val="1"/>
    </font>
    <font>
      <b/>
      <u/>
      <sz val="10"/>
      <color rgb="FFFF0000"/>
      <name val="Proxima Nova"/>
      <charset val="1"/>
    </font>
    <font>
      <b/>
      <i/>
      <sz val="10"/>
      <color rgb="FF0000FF"/>
      <name val="Proxima Nova"/>
      <charset val="1"/>
    </font>
    <font>
      <sz val="10"/>
      <color theme="1"/>
      <name val="Proxima Nova"/>
      <charset val="1"/>
    </font>
    <font>
      <b/>
      <sz val="10"/>
      <color rgb="FF980000"/>
      <name val="Proxima Nova"/>
      <charset val="1"/>
    </font>
    <font>
      <b/>
      <sz val="7"/>
      <color theme="1"/>
      <name val="Proxima Nova"/>
      <charset val="1"/>
    </font>
    <font>
      <b/>
      <sz val="10"/>
      <color rgb="FF274E13"/>
      <name val="Proxima Nova"/>
      <charset val="1"/>
    </font>
    <font>
      <b/>
      <sz val="10"/>
      <color rgb="FFFFFFFF"/>
      <name val="Proxima Nova"/>
      <charset val="1"/>
    </font>
    <font>
      <b/>
      <sz val="10"/>
      <color rgb="FF4285F4"/>
      <name val="Proxima Nova"/>
      <charset val="1"/>
    </font>
    <font>
      <b/>
      <sz val="10"/>
      <color rgb="FFEA4335"/>
      <name val="Proxima Nova"/>
      <charset val="1"/>
    </font>
    <font>
      <u/>
      <sz val="10"/>
      <color rgb="FF1155CC"/>
      <name val="Proxima Nova"/>
      <charset val="1"/>
    </font>
    <font>
      <sz val="10"/>
      <color rgb="FF4285F4"/>
      <name val="Proxima Nova"/>
      <charset val="1"/>
    </font>
    <font>
      <strike/>
      <sz val="10"/>
      <color theme="1"/>
      <name val="Proxima Nova"/>
      <charset val="1"/>
    </font>
    <font>
      <sz val="10"/>
      <color rgb="FFEA4335"/>
      <name val="Proxima Nova"/>
      <charset val="1"/>
    </font>
    <font>
      <b/>
      <sz val="10"/>
      <name val="Proxima Nova"/>
      <charset val="1"/>
    </font>
    <font>
      <sz val="10"/>
      <name val="Proxima Nova"/>
      <charset val="1"/>
    </font>
    <font>
      <sz val="10"/>
      <name val="Arial"/>
      <charset val="1"/>
    </font>
  </fonts>
  <fills count="25">
    <fill>
      <patternFill patternType="none"/>
    </fill>
    <fill>
      <patternFill patternType="gray125"/>
    </fill>
    <fill>
      <patternFill patternType="solid">
        <fgColor rgb="FFFF9900"/>
        <bgColor rgb="FFF6B26B"/>
      </patternFill>
    </fill>
    <fill>
      <patternFill patternType="solid">
        <fgColor rgb="FF999999"/>
        <bgColor rgb="FF808080"/>
      </patternFill>
    </fill>
    <fill>
      <patternFill patternType="solid">
        <fgColor rgb="FFB6D7A8"/>
        <bgColor rgb="FFCCCCCC"/>
      </patternFill>
    </fill>
    <fill>
      <patternFill patternType="solid">
        <fgColor rgb="FFEA9999"/>
        <bgColor rgb="FFF6B26B"/>
      </patternFill>
    </fill>
    <fill>
      <patternFill patternType="solid">
        <fgColor rgb="FFF4CCCC"/>
        <bgColor rgb="FFF9CB9C"/>
      </patternFill>
    </fill>
    <fill>
      <patternFill patternType="solid">
        <fgColor rgb="FFFFE599"/>
        <bgColor rgb="FFFFD966"/>
      </patternFill>
    </fill>
    <fill>
      <patternFill patternType="solid">
        <fgColor rgb="FFD9EAD3"/>
        <bgColor rgb="FFCFE2F3"/>
      </patternFill>
    </fill>
    <fill>
      <patternFill patternType="solid">
        <fgColor rgb="FFFFFF00"/>
        <bgColor rgb="FFFFFF00"/>
      </patternFill>
    </fill>
    <fill>
      <patternFill patternType="solid">
        <fgColor rgb="FFF9CB9C"/>
        <bgColor rgb="FFF4CCCC"/>
      </patternFill>
    </fill>
    <fill>
      <patternFill patternType="solid">
        <fgColor rgb="FF00FF00"/>
        <bgColor rgb="FF33CCCC"/>
      </patternFill>
    </fill>
    <fill>
      <patternFill patternType="solid">
        <fgColor rgb="FFA2C4C9"/>
        <bgColor rgb="FFB6D7A8"/>
      </patternFill>
    </fill>
    <fill>
      <patternFill patternType="solid">
        <fgColor rgb="FF980000"/>
        <bgColor rgb="FF800000"/>
      </patternFill>
    </fill>
    <fill>
      <patternFill patternType="solid">
        <fgColor rgb="FFB4A7D6"/>
        <bgColor rgb="FF9999FF"/>
      </patternFill>
    </fill>
    <fill>
      <patternFill patternType="solid">
        <fgColor rgb="FFFFFFFF"/>
        <bgColor rgb="FFCCFFFF"/>
      </patternFill>
    </fill>
    <fill>
      <patternFill patternType="solid">
        <fgColor rgb="FFCFE2F3"/>
        <bgColor rgb="FFD9EAD3"/>
      </patternFill>
    </fill>
    <fill>
      <patternFill patternType="solid">
        <fgColor rgb="FFFF0000"/>
        <bgColor rgb="FFEA4335"/>
      </patternFill>
    </fill>
    <fill>
      <patternFill patternType="solid">
        <fgColor rgb="FFCCCCCC"/>
        <bgColor rgb="FFB6D7A8"/>
      </patternFill>
    </fill>
    <fill>
      <patternFill patternType="solid">
        <fgColor rgb="FFF6B26B"/>
        <bgColor rgb="FFF9CB9C"/>
      </patternFill>
    </fill>
    <fill>
      <patternFill patternType="solid">
        <fgColor rgb="FFFFD966"/>
        <bgColor rgb="FFFFE599"/>
      </patternFill>
    </fill>
    <fill>
      <patternFill patternType="solid">
        <fgColor rgb="FF93C47D"/>
        <bgColor rgb="FFA2C4C9"/>
      </patternFill>
    </fill>
    <fill>
      <patternFill patternType="solid">
        <fgColor rgb="FF00FF00"/>
      </patternFill>
    </fill>
    <fill>
      <patternFill patternType="solid">
        <fgColor rgb="FFFFFFFF"/>
      </patternFill>
    </fill>
    <fill>
      <patternFill patternType="solid">
        <fgColor rgb="FFD9EAD3"/>
      </patternFill>
    </fill>
  </fills>
  <borders count="13">
    <border>
      <left/>
      <right/>
      <top/>
      <bottom/>
      <diagonal/>
    </border>
    <border>
      <left style="medium">
        <color auto="1"/>
      </left>
      <right/>
      <top/>
      <bottom/>
      <diagonal/>
    </border>
    <border>
      <left style="double">
        <color auto="1"/>
      </left>
      <right/>
      <top/>
      <bottom/>
      <diagonal/>
    </border>
    <border>
      <left style="thin">
        <color auto="1"/>
      </left>
      <right style="thin">
        <color auto="1"/>
      </right>
      <top style="thin">
        <color auto="1"/>
      </top>
      <bottom style="thin">
        <color auto="1"/>
      </bottom>
      <diagonal/>
    </border>
    <border>
      <left style="double">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indexed="64"/>
      </left>
      <right style="thin">
        <color indexed="64"/>
      </right>
      <top/>
      <bottom/>
      <diagonal/>
    </border>
    <border>
      <left/>
      <right style="thin">
        <color indexed="64"/>
      </right>
      <top/>
      <bottom/>
      <diagonal/>
    </border>
  </borders>
  <cellStyleXfs count="1">
    <xf numFmtId="0" fontId="0" fillId="0" borderId="0"/>
  </cellStyleXfs>
  <cellXfs count="121">
    <xf numFmtId="0" fontId="0" fillId="0" borderId="0" xfId="0"/>
    <xf numFmtId="0" fontId="1" fillId="0" borderId="0" xfId="0" applyFont="1" applyAlignment="1">
      <alignment vertical="top"/>
    </xf>
    <xf numFmtId="0" fontId="2" fillId="0" borderId="0" xfId="0" applyFont="1" applyAlignment="1">
      <alignment vertical="top"/>
    </xf>
    <xf numFmtId="0" fontId="3" fillId="2" borderId="1" xfId="0" applyFont="1" applyFill="1" applyBorder="1" applyAlignment="1">
      <alignment vertical="top"/>
    </xf>
    <xf numFmtId="3" fontId="1" fillId="2" borderId="0" xfId="0" applyNumberFormat="1" applyFont="1" applyFill="1" applyAlignment="1">
      <alignment horizontal="center"/>
    </xf>
    <xf numFmtId="3" fontId="1" fillId="2" borderId="0" xfId="0" applyNumberFormat="1" applyFont="1" applyFill="1" applyAlignment="1">
      <alignment horizontal="right"/>
    </xf>
    <xf numFmtId="10" fontId="2" fillId="0" borderId="0" xfId="0" applyNumberFormat="1" applyFont="1" applyAlignment="1">
      <alignment vertical="top"/>
    </xf>
    <xf numFmtId="0" fontId="3" fillId="2" borderId="2" xfId="0" applyFont="1" applyFill="1" applyBorder="1" applyAlignment="1">
      <alignment vertical="top"/>
    </xf>
    <xf numFmtId="3" fontId="1" fillId="2" borderId="0" xfId="0" applyNumberFormat="1" applyFont="1" applyFill="1" applyAlignment="1">
      <alignment horizontal="center" wrapText="1"/>
    </xf>
    <xf numFmtId="3" fontId="1" fillId="3" borderId="0" xfId="0" applyNumberFormat="1" applyFont="1" applyFill="1" applyAlignment="1">
      <alignment horizontal="center"/>
    </xf>
    <xf numFmtId="0" fontId="2" fillId="0" borderId="0" xfId="0" applyFont="1"/>
    <xf numFmtId="0" fontId="1" fillId="2" borderId="0" xfId="0" applyFont="1" applyFill="1" applyAlignment="1">
      <alignment horizontal="center" vertical="top"/>
    </xf>
    <xf numFmtId="0" fontId="1" fillId="2" borderId="0" xfId="0" applyFont="1" applyFill="1" applyAlignment="1">
      <alignment horizontal="right" vertical="top"/>
    </xf>
    <xf numFmtId="0" fontId="1" fillId="2" borderId="0" xfId="0" applyFont="1" applyFill="1" applyAlignment="1">
      <alignment vertical="top"/>
    </xf>
    <xf numFmtId="0" fontId="5" fillId="0" borderId="0" xfId="0" applyFont="1" applyAlignment="1">
      <alignment vertical="top"/>
    </xf>
    <xf numFmtId="49" fontId="1" fillId="0" borderId="0" xfId="0" applyNumberFormat="1" applyFont="1" applyAlignment="1">
      <alignment horizontal="center" vertical="top"/>
    </xf>
    <xf numFmtId="10" fontId="1" fillId="0" borderId="0" xfId="0" applyNumberFormat="1" applyFont="1" applyAlignment="1">
      <alignment horizontal="right" vertical="top"/>
    </xf>
    <xf numFmtId="0" fontId="1" fillId="4" borderId="2" xfId="0" applyFont="1" applyFill="1" applyBorder="1" applyAlignment="1">
      <alignment vertical="top"/>
    </xf>
    <xf numFmtId="3" fontId="1" fillId="0" borderId="0" xfId="0" applyNumberFormat="1" applyFont="1" applyAlignment="1">
      <alignment horizontal="center" vertical="top" wrapText="1"/>
    </xf>
    <xf numFmtId="49" fontId="6" fillId="0" borderId="0" xfId="0" applyNumberFormat="1" applyFont="1" applyAlignment="1">
      <alignment horizontal="center"/>
    </xf>
    <xf numFmtId="0" fontId="1" fillId="5" borderId="1" xfId="0" applyFont="1" applyFill="1" applyBorder="1" applyAlignment="1">
      <alignment vertical="top"/>
    </xf>
    <xf numFmtId="0" fontId="6" fillId="0" borderId="0" xfId="0" applyFont="1" applyAlignment="1">
      <alignment horizontal="center" vertical="top"/>
    </xf>
    <xf numFmtId="10" fontId="6" fillId="0" borderId="0" xfId="0" applyNumberFormat="1" applyFont="1" applyAlignment="1">
      <alignment horizontal="right"/>
    </xf>
    <xf numFmtId="49" fontId="6" fillId="0" borderId="0" xfId="0" applyNumberFormat="1" applyFont="1" applyAlignment="1">
      <alignment horizontal="center" vertical="top"/>
    </xf>
    <xf numFmtId="0" fontId="7" fillId="6" borderId="0" xfId="0" applyFont="1" applyFill="1" applyAlignment="1">
      <alignment vertical="top"/>
    </xf>
    <xf numFmtId="0" fontId="1" fillId="0" borderId="0" xfId="0" applyFont="1"/>
    <xf numFmtId="0" fontId="8" fillId="0" borderId="0" xfId="0" applyFont="1" applyAlignment="1">
      <alignment vertical="top"/>
    </xf>
    <xf numFmtId="0" fontId="6" fillId="0" borderId="0" xfId="0" applyFont="1" applyAlignment="1">
      <alignment vertical="top"/>
    </xf>
    <xf numFmtId="0" fontId="8" fillId="0" borderId="1" xfId="0" applyFont="1" applyBorder="1" applyAlignment="1">
      <alignment vertical="top"/>
    </xf>
    <xf numFmtId="0" fontId="1" fillId="7" borderId="1" xfId="0" applyFont="1" applyFill="1" applyBorder="1" applyAlignment="1">
      <alignment vertical="top"/>
    </xf>
    <xf numFmtId="10" fontId="6" fillId="0" borderId="0" xfId="0" applyNumberFormat="1" applyFont="1" applyAlignment="1">
      <alignment horizontal="right" vertical="top"/>
    </xf>
    <xf numFmtId="10" fontId="1" fillId="7" borderId="2" xfId="0" applyNumberFormat="1" applyFont="1" applyFill="1" applyBorder="1" applyAlignment="1">
      <alignment vertical="top"/>
    </xf>
    <xf numFmtId="3" fontId="6" fillId="0" borderId="0" xfId="0" applyNumberFormat="1" applyFont="1" applyAlignment="1">
      <alignment horizontal="center" vertical="top" wrapText="1"/>
    </xf>
    <xf numFmtId="0" fontId="6" fillId="0" borderId="0" xfId="0" applyFont="1" applyAlignment="1">
      <alignment horizontal="center"/>
    </xf>
    <xf numFmtId="0" fontId="9" fillId="8" borderId="0" xfId="0" applyFont="1" applyFill="1" applyAlignment="1">
      <alignment vertical="top"/>
    </xf>
    <xf numFmtId="0" fontId="1" fillId="9" borderId="1" xfId="0" applyFont="1" applyFill="1" applyBorder="1" applyAlignment="1">
      <alignment vertical="top"/>
    </xf>
    <xf numFmtId="0" fontId="1" fillId="5" borderId="2" xfId="0" applyFont="1" applyFill="1" applyBorder="1" applyAlignment="1">
      <alignment vertical="top"/>
    </xf>
    <xf numFmtId="0" fontId="1" fillId="10" borderId="1" xfId="0" applyFont="1" applyFill="1" applyBorder="1" applyAlignment="1">
      <alignment vertical="top"/>
    </xf>
    <xf numFmtId="0" fontId="7" fillId="0" borderId="0" xfId="0" applyFont="1" applyAlignment="1">
      <alignment wrapText="1"/>
    </xf>
    <xf numFmtId="0" fontId="1" fillId="11" borderId="1" xfId="0" applyFont="1" applyFill="1" applyBorder="1" applyAlignment="1">
      <alignment vertical="top"/>
    </xf>
    <xf numFmtId="0" fontId="1" fillId="12" borderId="1" xfId="0" applyFont="1" applyFill="1" applyBorder="1" applyAlignment="1">
      <alignment vertical="top" wrapText="1"/>
    </xf>
    <xf numFmtId="0" fontId="10" fillId="13" borderId="2" xfId="0" applyFont="1" applyFill="1" applyBorder="1" applyAlignment="1">
      <alignment vertical="top" wrapText="1"/>
    </xf>
    <xf numFmtId="0" fontId="1" fillId="14" borderId="1" xfId="0" applyFont="1" applyFill="1" applyBorder="1" applyAlignment="1">
      <alignment vertical="top"/>
    </xf>
    <xf numFmtId="0" fontId="11" fillId="0" borderId="0" xfId="0" applyFont="1" applyAlignment="1">
      <alignment vertical="top"/>
    </xf>
    <xf numFmtId="164" fontId="10" fillId="13" borderId="0" xfId="0" applyNumberFormat="1" applyFont="1" applyFill="1"/>
    <xf numFmtId="164" fontId="2" fillId="0" borderId="0" xfId="0" applyNumberFormat="1" applyFont="1"/>
    <xf numFmtId="0" fontId="1" fillId="6" borderId="1" xfId="0" applyFont="1" applyFill="1" applyBorder="1" applyAlignment="1">
      <alignment vertical="top"/>
    </xf>
    <xf numFmtId="10" fontId="1" fillId="12" borderId="2" xfId="0" applyNumberFormat="1" applyFont="1" applyFill="1" applyBorder="1" applyAlignment="1">
      <alignment vertical="top" wrapText="1"/>
    </xf>
    <xf numFmtId="0" fontId="12" fillId="15" borderId="1" xfId="0" applyFont="1" applyFill="1" applyBorder="1" applyAlignment="1">
      <alignment vertical="top" wrapText="1"/>
    </xf>
    <xf numFmtId="0" fontId="12" fillId="0" borderId="0" xfId="0" applyFont="1" applyAlignment="1">
      <alignment vertical="top"/>
    </xf>
    <xf numFmtId="0" fontId="6" fillId="16" borderId="1" xfId="0" applyFont="1" applyFill="1" applyBorder="1" applyAlignment="1">
      <alignment vertical="top" wrapText="1"/>
    </xf>
    <xf numFmtId="0" fontId="1" fillId="0" borderId="2" xfId="0" applyFont="1" applyBorder="1" applyAlignment="1">
      <alignment vertical="top" wrapText="1"/>
    </xf>
    <xf numFmtId="0" fontId="11" fillId="0" borderId="1" xfId="0" applyFont="1" applyBorder="1" applyAlignment="1">
      <alignment vertical="top" wrapText="1"/>
    </xf>
    <xf numFmtId="164" fontId="9" fillId="0" borderId="0" xfId="0" applyNumberFormat="1" applyFont="1" applyAlignment="1">
      <alignment vertical="top"/>
    </xf>
    <xf numFmtId="0" fontId="1" fillId="17" borderId="1" xfId="0" applyFont="1" applyFill="1" applyBorder="1" applyAlignment="1">
      <alignment vertical="top" wrapText="1"/>
    </xf>
    <xf numFmtId="0" fontId="1" fillId="18" borderId="0" xfId="0" applyFont="1" applyFill="1" applyAlignment="1">
      <alignment wrapText="1"/>
    </xf>
    <xf numFmtId="49" fontId="1" fillId="18" borderId="0" xfId="0" applyNumberFormat="1" applyFont="1" applyFill="1" applyAlignment="1">
      <alignment horizontal="center" vertical="top"/>
    </xf>
    <xf numFmtId="10" fontId="1" fillId="18" borderId="0" xfId="0" applyNumberFormat="1" applyFont="1" applyFill="1" applyAlignment="1">
      <alignment horizontal="right" vertical="top"/>
    </xf>
    <xf numFmtId="0" fontId="9" fillId="0" borderId="2" xfId="0" applyFont="1" applyBorder="1" applyAlignment="1">
      <alignment vertical="top" wrapText="1"/>
    </xf>
    <xf numFmtId="0" fontId="1" fillId="4" borderId="1" xfId="0" applyFont="1" applyFill="1" applyBorder="1" applyAlignment="1">
      <alignment vertical="top" wrapText="1"/>
    </xf>
    <xf numFmtId="0" fontId="1" fillId="0" borderId="0" xfId="0" applyFont="1" applyAlignment="1">
      <alignment horizontal="center" vertical="top"/>
    </xf>
    <xf numFmtId="10" fontId="1" fillId="0" borderId="0" xfId="0" applyNumberFormat="1" applyFont="1" applyAlignment="1">
      <alignment horizontal="right"/>
    </xf>
    <xf numFmtId="0" fontId="7" fillId="0" borderId="2" xfId="0" applyFont="1" applyBorder="1" applyAlignment="1">
      <alignment vertical="top" wrapText="1"/>
    </xf>
    <xf numFmtId="0" fontId="1" fillId="0" borderId="0" xfId="0" applyFont="1" applyAlignment="1">
      <alignment horizontal="center"/>
    </xf>
    <xf numFmtId="0" fontId="1" fillId="18" borderId="3" xfId="0" applyFont="1" applyFill="1" applyBorder="1" applyAlignment="1">
      <alignment horizontal="center" vertical="top" wrapText="1"/>
    </xf>
    <xf numFmtId="0" fontId="1" fillId="15" borderId="3"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3" xfId="0" applyFont="1" applyFill="1" applyBorder="1" applyAlignment="1">
      <alignment horizontal="center" wrapText="1"/>
    </xf>
    <xf numFmtId="0" fontId="1" fillId="19" borderId="3" xfId="0" applyFont="1" applyFill="1" applyBorder="1" applyAlignment="1">
      <alignment horizontal="center" wrapText="1"/>
    </xf>
    <xf numFmtId="0" fontId="1" fillId="20" borderId="3" xfId="0" applyFont="1" applyFill="1" applyBorder="1" applyAlignment="1">
      <alignment horizontal="center" wrapText="1"/>
    </xf>
    <xf numFmtId="0" fontId="1" fillId="21" borderId="5" xfId="0" applyFont="1" applyFill="1" applyBorder="1" applyAlignment="1">
      <alignment horizontal="center" wrapText="1"/>
    </xf>
    <xf numFmtId="0" fontId="1" fillId="21" borderId="3" xfId="0" applyFont="1" applyFill="1" applyBorder="1" applyAlignment="1">
      <alignment horizontal="center" wrapText="1"/>
    </xf>
    <xf numFmtId="0" fontId="1" fillId="21" borderId="7" xfId="0" applyFont="1" applyFill="1" applyBorder="1" applyAlignment="1">
      <alignment horizontal="center" wrapText="1"/>
    </xf>
    <xf numFmtId="0" fontId="6" fillId="0" borderId="0" xfId="0" applyFont="1" applyAlignment="1">
      <alignment vertical="top" wrapText="1"/>
    </xf>
    <xf numFmtId="164" fontId="6" fillId="0" borderId="0" xfId="0" applyNumberFormat="1" applyFont="1" applyAlignment="1">
      <alignment horizontal="center" vertical="top" wrapText="1"/>
    </xf>
    <xf numFmtId="0" fontId="6" fillId="0" borderId="0" xfId="0" applyFont="1" applyAlignment="1">
      <alignment horizontal="center" vertical="top" wrapText="1"/>
    </xf>
    <xf numFmtId="165" fontId="6" fillId="0" borderId="0" xfId="0" applyNumberFormat="1" applyFont="1" applyAlignment="1">
      <alignment horizontal="center" vertical="top" wrapText="1"/>
    </xf>
    <xf numFmtId="0" fontId="14" fillId="0" borderId="0" xfId="0" applyFont="1" applyAlignment="1">
      <alignment vertical="top" wrapText="1"/>
    </xf>
    <xf numFmtId="0" fontId="16" fillId="0" borderId="0" xfId="0" applyFont="1" applyAlignment="1">
      <alignment horizontal="center" vertical="top" wrapText="1"/>
    </xf>
    <xf numFmtId="0" fontId="12" fillId="0" borderId="0" xfId="0" applyFont="1" applyAlignment="1">
      <alignment vertical="top" wrapText="1"/>
    </xf>
    <xf numFmtId="164" fontId="2" fillId="0" borderId="0" xfId="0" applyNumberFormat="1" applyFont="1" applyAlignment="1">
      <alignment vertical="top"/>
    </xf>
    <xf numFmtId="0" fontId="14" fillId="0" borderId="0" xfId="0" applyFont="1" applyAlignment="1">
      <alignment horizontal="center" vertical="top" wrapText="1"/>
    </xf>
    <xf numFmtId="0" fontId="11" fillId="0" borderId="0" xfId="0" applyFont="1" applyAlignment="1">
      <alignment vertical="top" wrapText="1"/>
    </xf>
    <xf numFmtId="0" fontId="16" fillId="0" borderId="0" xfId="0" applyFont="1" applyAlignment="1">
      <alignment vertical="top" wrapText="1"/>
    </xf>
    <xf numFmtId="166" fontId="6" fillId="0" borderId="0" xfId="0" applyNumberFormat="1" applyFont="1" applyAlignment="1">
      <alignment horizontal="center" vertical="top" wrapText="1"/>
    </xf>
    <xf numFmtId="165" fontId="2" fillId="0" borderId="0" xfId="0" applyNumberFormat="1" applyFont="1" applyAlignment="1">
      <alignment vertical="top"/>
    </xf>
    <xf numFmtId="0" fontId="17" fillId="22" borderId="0" xfId="0" applyFont="1" applyFill="1" applyAlignment="1">
      <alignment horizontal="center" vertical="top" wrapText="1"/>
    </xf>
    <xf numFmtId="0" fontId="17" fillId="24" borderId="0" xfId="0" applyFont="1" applyFill="1" applyAlignment="1">
      <alignment vertical="top" wrapText="1"/>
    </xf>
    <xf numFmtId="9" fontId="17" fillId="24" borderId="0" xfId="0" applyNumberFormat="1" applyFont="1" applyFill="1" applyAlignment="1">
      <alignment horizontal="center" vertical="top" wrapText="1"/>
    </xf>
    <xf numFmtId="0" fontId="17" fillId="23" borderId="0" xfId="0" applyFont="1" applyFill="1" applyAlignment="1">
      <alignment vertical="top" wrapText="1"/>
    </xf>
    <xf numFmtId="0" fontId="18" fillId="23" borderId="0" xfId="0" applyFont="1" applyFill="1" applyAlignment="1">
      <alignment vertical="top" wrapText="1"/>
    </xf>
    <xf numFmtId="10" fontId="18" fillId="23" borderId="0" xfId="0" applyNumberFormat="1" applyFont="1" applyFill="1" applyAlignment="1">
      <alignment vertical="top" wrapText="1"/>
    </xf>
    <xf numFmtId="0" fontId="1" fillId="2" borderId="7" xfId="0" applyFont="1" applyFill="1" applyBorder="1" applyAlignment="1">
      <alignment horizontal="center" wrapText="1"/>
    </xf>
    <xf numFmtId="0" fontId="3" fillId="2" borderId="0" xfId="0" applyFont="1" applyFill="1" applyAlignment="1">
      <alignment vertical="top"/>
    </xf>
    <xf numFmtId="0" fontId="1" fillId="4" borderId="0" xfId="0" applyFont="1" applyFill="1" applyAlignment="1">
      <alignment vertical="top"/>
    </xf>
    <xf numFmtId="0" fontId="1" fillId="7" borderId="0" xfId="0" applyFont="1" applyFill="1" applyAlignment="1">
      <alignment vertical="top"/>
    </xf>
    <xf numFmtId="0" fontId="1" fillId="5" borderId="0" xfId="0" applyFont="1" applyFill="1" applyAlignment="1">
      <alignment vertical="top"/>
    </xf>
    <xf numFmtId="0" fontId="1" fillId="12" borderId="0" xfId="0" applyFont="1" applyFill="1" applyAlignment="1">
      <alignment vertical="top" wrapText="1"/>
    </xf>
    <xf numFmtId="0" fontId="9" fillId="15" borderId="0" xfId="0" applyFont="1" applyFill="1" applyAlignment="1">
      <alignment vertical="top" wrapText="1"/>
    </xf>
    <xf numFmtId="0" fontId="1" fillId="15" borderId="0" xfId="0" applyFont="1" applyFill="1" applyAlignment="1">
      <alignment vertical="top" wrapText="1"/>
    </xf>
    <xf numFmtId="0" fontId="1" fillId="19" borderId="10" xfId="0" applyFont="1" applyFill="1" applyBorder="1" applyAlignment="1">
      <alignment horizontal="center" wrapText="1"/>
    </xf>
    <xf numFmtId="0" fontId="1" fillId="0" borderId="0" xfId="0" applyFont="1" applyAlignment="1">
      <alignment vertical="top" wrapText="1"/>
    </xf>
    <xf numFmtId="0" fontId="2" fillId="0" borderId="11" xfId="0" applyFont="1" applyBorder="1" applyAlignment="1">
      <alignment vertical="top"/>
    </xf>
    <xf numFmtId="0" fontId="19" fillId="24" borderId="11" xfId="0" applyFont="1" applyFill="1" applyBorder="1" applyAlignment="1">
      <alignment vertical="top"/>
    </xf>
    <xf numFmtId="0" fontId="18" fillId="23" borderId="11" xfId="0" applyFont="1" applyFill="1" applyBorder="1" applyAlignment="1">
      <alignment vertical="top" wrapText="1"/>
    </xf>
    <xf numFmtId="0" fontId="1" fillId="20" borderId="10" xfId="0" applyFont="1" applyFill="1" applyBorder="1" applyAlignment="1">
      <alignment horizontal="center" wrapText="1"/>
    </xf>
    <xf numFmtId="0" fontId="1" fillId="19" borderId="3" xfId="0" applyFont="1" applyFill="1" applyBorder="1" applyAlignment="1">
      <alignment wrapText="1"/>
    </xf>
    <xf numFmtId="0" fontId="2" fillId="0" borderId="12" xfId="0" applyFont="1" applyBorder="1" applyAlignment="1">
      <alignment vertical="top"/>
    </xf>
    <xf numFmtId="0" fontId="13" fillId="0" borderId="12" xfId="0" applyFont="1" applyBorder="1" applyAlignment="1">
      <alignment vertical="top" wrapText="1"/>
    </xf>
    <xf numFmtId="0" fontId="0" fillId="0" borderId="12" xfId="0" applyBorder="1"/>
    <xf numFmtId="0" fontId="15" fillId="0" borderId="12" xfId="0" applyFont="1" applyBorder="1" applyAlignment="1">
      <alignment vertical="top" wrapText="1"/>
    </xf>
    <xf numFmtId="0" fontId="6" fillId="0" borderId="12" xfId="0" applyFont="1" applyBorder="1" applyAlignment="1">
      <alignment vertical="top" wrapText="1"/>
    </xf>
    <xf numFmtId="0" fontId="2" fillId="0" borderId="9" xfId="0" applyFont="1" applyBorder="1" applyAlignment="1">
      <alignment vertical="top"/>
    </xf>
    <xf numFmtId="0" fontId="3" fillId="19" borderId="6" xfId="0" applyFont="1" applyFill="1" applyBorder="1" applyAlignment="1">
      <alignment horizontal="center" vertical="top" wrapText="1"/>
    </xf>
    <xf numFmtId="0" fontId="0" fillId="0" borderId="6" xfId="0" applyBorder="1"/>
    <xf numFmtId="0" fontId="3" fillId="21" borderId="5" xfId="0" applyFont="1" applyFill="1" applyBorder="1" applyAlignment="1">
      <alignment horizontal="center" vertical="top" wrapText="1"/>
    </xf>
    <xf numFmtId="0" fontId="0" fillId="0" borderId="10" xfId="0" applyBorder="1"/>
    <xf numFmtId="0" fontId="3" fillId="20" borderId="4" xfId="0" applyFont="1" applyFill="1" applyBorder="1" applyAlignment="1">
      <alignment horizontal="center" vertical="top" wrapText="1"/>
    </xf>
    <xf numFmtId="0" fontId="0" fillId="0" borderId="8" xfId="0" applyBorder="1"/>
    <xf numFmtId="0" fontId="4" fillId="0" borderId="0" xfId="0" applyFont="1" applyAlignment="1">
      <alignment vertical="top"/>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CCCCC"/>
      <rgbColor rgb="FF808080"/>
      <rgbColor rgb="FF9999FF"/>
      <rgbColor rgb="FF993366"/>
      <rgbColor rgb="FFF4CCCC"/>
      <rgbColor rgb="FFB6D7A8"/>
      <rgbColor rgb="FF660066"/>
      <rgbColor rgb="FFF6B26B"/>
      <rgbColor rgb="FF1155CC"/>
      <rgbColor rgb="FFCFE2F3"/>
      <rgbColor rgb="FF000080"/>
      <rgbColor rgb="FFFF00FF"/>
      <rgbColor rgb="FFFFFF00"/>
      <rgbColor rgb="FF00FFFF"/>
      <rgbColor rgb="FF800080"/>
      <rgbColor rgb="FF800000"/>
      <rgbColor rgb="FF008080"/>
      <rgbColor rgb="FF0000FF"/>
      <rgbColor rgb="FF00CCFF"/>
      <rgbColor rgb="FFCCFFFF"/>
      <rgbColor rgb="FFD9EAD3"/>
      <rgbColor rgb="FFFFE599"/>
      <rgbColor rgb="FFA2C4C9"/>
      <rgbColor rgb="FFEA9999"/>
      <rgbColor rgb="FFB4A7D6"/>
      <rgbColor rgb="FFF9CB9C"/>
      <rgbColor rgb="FF4285F4"/>
      <rgbColor rgb="FF33CCCC"/>
      <rgbColor rgb="FF93C47D"/>
      <rgbColor rgb="FFFFD966"/>
      <rgbColor rgb="FFFF9900"/>
      <rgbColor rgb="FFEA4335"/>
      <rgbColor rgb="FF666699"/>
      <rgbColor rgb="FF999999"/>
      <rgbColor rgb="FF003366"/>
      <rgbColor rgb="FF339966"/>
      <rgbColor rgb="FF003300"/>
      <rgbColor rgb="FF274E13"/>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jUJiamUMM-YKog1tIdwksxCagkAwHYlp/view?usp=sharing" TargetMode="External"/><Relationship Id="rId2" Type="http://schemas.openxmlformats.org/officeDocument/2006/relationships/hyperlink" Target="https://drive.google.com/file/d/1W6aXz1aruBW4J2A-lbRuA9fCZxIT-2P2/view?usp=sharing" TargetMode="External"/><Relationship Id="rId1" Type="http://schemas.openxmlformats.org/officeDocument/2006/relationships/hyperlink" Target="https://drive.google.com/file/d/1qFQ4NAdQbhwVKl2bsQUqrQFKKrMVpQpK/view?usp=sharing"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A92"/>
  <sheetViews>
    <sheetView tabSelected="1" topLeftCell="A61" zoomScaleNormal="100" workbookViewId="0">
      <selection activeCell="H15" sqref="H15"/>
    </sheetView>
  </sheetViews>
  <sheetFormatPr defaultColWidth="12.5703125" defaultRowHeight="15.75" customHeight="1"/>
  <cols>
    <col min="5" max="5" width="17.42578125" customWidth="1"/>
    <col min="6" max="6" width="25.28515625" customWidth="1"/>
    <col min="7" max="7" width="42" customWidth="1"/>
  </cols>
  <sheetData>
    <row r="1" spans="1:27" ht="12.75">
      <c r="A1" s="1" t="s">
        <v>0</v>
      </c>
      <c r="B1" s="2"/>
      <c r="C1" s="2"/>
      <c r="D1" s="2"/>
      <c r="E1" s="2"/>
      <c r="F1" s="1" t="s">
        <v>1</v>
      </c>
      <c r="G1" s="2"/>
      <c r="H1" s="2"/>
      <c r="I1" s="2"/>
      <c r="J1" s="102"/>
      <c r="K1" s="93" t="s">
        <v>2</v>
      </c>
      <c r="L1" s="4" t="s">
        <v>3</v>
      </c>
      <c r="M1" s="5" t="s">
        <v>4</v>
      </c>
      <c r="N1" s="6"/>
      <c r="O1" s="7" t="s">
        <v>5</v>
      </c>
      <c r="P1" s="8" t="str">
        <f>"Total" &amp; " (" &amp; SUM(P2,P3,P4,P5,P6,P7,P9) &amp; ") "</f>
        <v xml:space="preserve">Total (0) </v>
      </c>
      <c r="Q1" s="9" t="str">
        <f>"Need Test" &amp; " (" &amp; SUM(Q2:Q9) &amp; ") "</f>
        <v xml:space="preserve">Need Test (0) </v>
      </c>
      <c r="R1" s="10"/>
      <c r="S1" s="3" t="s">
        <v>6</v>
      </c>
      <c r="T1" s="11">
        <f>SUM(T2:T9)</f>
        <v>0</v>
      </c>
      <c r="U1" s="12" t="s">
        <v>4</v>
      </c>
      <c r="V1" s="4" t="s">
        <v>7</v>
      </c>
      <c r="W1" s="4" t="s">
        <v>8</v>
      </c>
      <c r="X1" s="10"/>
      <c r="Y1" s="13" t="s">
        <v>9</v>
      </c>
      <c r="Z1" s="13" t="s">
        <v>10</v>
      </c>
      <c r="AA1" s="10"/>
    </row>
    <row r="2" spans="1:27" ht="12.75">
      <c r="A2" s="119"/>
      <c r="B2" s="120"/>
      <c r="C2" s="120"/>
      <c r="D2" s="120"/>
      <c r="E2" s="120"/>
      <c r="F2" s="14" t="s">
        <v>11</v>
      </c>
      <c r="G2" s="2"/>
      <c r="H2" s="2"/>
      <c r="I2" s="2"/>
      <c r="J2" s="102"/>
      <c r="K2" s="94" t="s">
        <v>12</v>
      </c>
      <c r="L2" s="15">
        <f>COUNTIF($K$13:$K1000,$K2)</f>
        <v>0</v>
      </c>
      <c r="M2" s="16">
        <f t="shared" ref="M2:M8" si="0">IFERROR(L2/$E$10,"-")</f>
        <v>0</v>
      </c>
      <c r="N2" s="10"/>
      <c r="O2" s="17" t="s">
        <v>12</v>
      </c>
      <c r="P2" s="18">
        <f>COUNTIF($O$12:$O1000,"OK*")</f>
        <v>0</v>
      </c>
      <c r="Q2" s="19" t="s">
        <v>13</v>
      </c>
      <c r="R2" s="10"/>
      <c r="S2" s="20" t="s">
        <v>14</v>
      </c>
      <c r="T2" s="21">
        <f>COUNTIF($S$12:$S1000, $S2)</f>
        <v>0</v>
      </c>
      <c r="U2" s="22" t="str">
        <f t="shared" ref="U2:U9" si="1">IFERROR(T2/$T$1,"-")</f>
        <v>-</v>
      </c>
      <c r="V2" s="23">
        <f>COUNTIFS($S$12:$S1000,$S2,$U$12:$U1000,V$1)</f>
        <v>0</v>
      </c>
      <c r="W2" s="23">
        <f>COUNTIFS($S$12:$S1000,$S2,$U$12:$U1000,W$1)</f>
        <v>0</v>
      </c>
      <c r="X2" s="10"/>
      <c r="Y2" s="24" t="s">
        <v>15</v>
      </c>
      <c r="Z2" s="25" t="s">
        <v>16</v>
      </c>
      <c r="AA2" s="10"/>
    </row>
    <row r="3" spans="1:27" ht="12.75">
      <c r="A3" s="26" t="s">
        <v>17</v>
      </c>
      <c r="B3" s="27" t="s">
        <v>18</v>
      </c>
      <c r="C3" s="2"/>
      <c r="D3" s="2"/>
      <c r="E3" s="28" t="s">
        <v>19</v>
      </c>
      <c r="F3" s="2"/>
      <c r="G3" s="2"/>
      <c r="H3" s="2"/>
      <c r="I3" s="2"/>
      <c r="J3" s="102"/>
      <c r="K3" s="95" t="s">
        <v>20</v>
      </c>
      <c r="L3" s="23">
        <f>COUNTIF($K$12:$K1000,$K3)</f>
        <v>0</v>
      </c>
      <c r="M3" s="30">
        <f t="shared" si="0"/>
        <v>0</v>
      </c>
      <c r="N3" s="10"/>
      <c r="O3" s="31" t="s">
        <v>20</v>
      </c>
      <c r="P3" s="32">
        <f>COUNTIF($O$12:$O1000,O3)</f>
        <v>0</v>
      </c>
      <c r="Q3" s="33">
        <f>COUNTIFS($O$12:$O1000,$O3,$S$12:$S1000,$S$8)</f>
        <v>0</v>
      </c>
      <c r="R3" s="10"/>
      <c r="S3" s="29" t="s">
        <v>21</v>
      </c>
      <c r="T3" s="21">
        <f>COUNTIF($S$12:$S1001, $S3)</f>
        <v>0</v>
      </c>
      <c r="U3" s="22" t="str">
        <f t="shared" si="1"/>
        <v>-</v>
      </c>
      <c r="V3" s="23">
        <f>COUNTIFS($S$12:$S1000,$S3,$U$12:$U1000,V$1)</f>
        <v>0</v>
      </c>
      <c r="W3" s="23">
        <f>COUNTIFS($S$12:$S1000,$S3,$U$12:$U1000,W$1)</f>
        <v>0</v>
      </c>
      <c r="X3" s="10"/>
      <c r="Y3" s="34" t="s">
        <v>22</v>
      </c>
      <c r="Z3" s="25" t="s">
        <v>16</v>
      </c>
      <c r="AA3" s="10"/>
    </row>
    <row r="4" spans="1:27" ht="25.5">
      <c r="A4" s="26" t="s">
        <v>23</v>
      </c>
      <c r="B4" s="27" t="s">
        <v>24</v>
      </c>
      <c r="C4" s="2"/>
      <c r="D4" s="2"/>
      <c r="E4" s="35" t="s">
        <v>25</v>
      </c>
      <c r="F4" s="2"/>
      <c r="G4" s="2"/>
      <c r="H4" s="2"/>
      <c r="I4" s="2"/>
      <c r="J4" s="102"/>
      <c r="K4" s="96" t="s">
        <v>26</v>
      </c>
      <c r="L4" s="23">
        <f>COUNTIF($K$12:$K1001,$K4)</f>
        <v>0</v>
      </c>
      <c r="M4" s="30">
        <f t="shared" si="0"/>
        <v>0</v>
      </c>
      <c r="N4" s="10"/>
      <c r="O4" s="36" t="s">
        <v>27</v>
      </c>
      <c r="P4" s="32">
        <f>COUNTIF($O$12:$O1001,O4)</f>
        <v>0</v>
      </c>
      <c r="Q4" s="33">
        <f>COUNTIFS($O$12:$O1001,$O4,$S$12:$S1001,$S$8)</f>
        <v>0</v>
      </c>
      <c r="R4" s="10"/>
      <c r="S4" s="37" t="s">
        <v>28</v>
      </c>
      <c r="T4" s="21">
        <f>COUNTIF($S$12:$S1002, $S4)</f>
        <v>0</v>
      </c>
      <c r="U4" s="22" t="str">
        <f t="shared" si="1"/>
        <v>-</v>
      </c>
      <c r="V4" s="23">
        <f>COUNTIFS($S$12:$S1000,$S4,$U$12:$U1000,V$1)</f>
        <v>0</v>
      </c>
      <c r="W4" s="23">
        <f>COUNTIFS($S$12:$S1000,$S4,$U$12:$U1000,W$1)</f>
        <v>0</v>
      </c>
      <c r="X4" s="10"/>
      <c r="Y4" s="38" t="s">
        <v>29</v>
      </c>
      <c r="Z4" s="38" t="str">
        <f>COUNTIFS($S$12:$S1000,"*",$U$12:$U1000,"BE", $V$12:$V1000,"") &amp; " , " &amp; COUNTIFS($S$12:$S1000,"*",$U$12:$U1000,"FE", $W$12:$W1000,"")</f>
        <v>0 , 0</v>
      </c>
      <c r="AA4" s="10"/>
    </row>
    <row r="5" spans="1:27" ht="12.75">
      <c r="A5" s="26" t="s">
        <v>30</v>
      </c>
      <c r="B5" s="27" t="s">
        <v>24</v>
      </c>
      <c r="C5" s="2"/>
      <c r="D5" s="1" t="s">
        <v>13</v>
      </c>
      <c r="E5" s="39" t="s">
        <v>31</v>
      </c>
      <c r="F5" s="2"/>
      <c r="G5" s="2"/>
      <c r="H5" s="2"/>
      <c r="I5" s="2"/>
      <c r="J5" s="102"/>
      <c r="K5" s="97" t="s">
        <v>32</v>
      </c>
      <c r="L5" s="23">
        <f>COUNTIF($K$12:$K1002,$K5)</f>
        <v>0</v>
      </c>
      <c r="M5" s="30">
        <f t="shared" si="0"/>
        <v>0</v>
      </c>
      <c r="N5" s="10"/>
      <c r="O5" s="41" t="s">
        <v>33</v>
      </c>
      <c r="P5" s="32">
        <f>COUNTIF($O$12:$O1002,O5)</f>
        <v>0</v>
      </c>
      <c r="Q5" s="33">
        <f>COUNTIFS($O$12:$O1002,$O5,$S$12:$S1002,$S$8)</f>
        <v>0</v>
      </c>
      <c r="R5" s="10"/>
      <c r="S5" s="42" t="s">
        <v>34</v>
      </c>
      <c r="T5" s="21">
        <f>COUNTIF($S$12:$S1003, $S5)</f>
        <v>0</v>
      </c>
      <c r="U5" s="22" t="str">
        <f t="shared" si="1"/>
        <v>-</v>
      </c>
      <c r="V5" s="23">
        <f>COUNTIFS($S$12:$S1000,$S5,$U$12:$U1000,V$1)</f>
        <v>0</v>
      </c>
      <c r="W5" s="23">
        <f>COUNTIFS($S$12:$S1000,$S5,$U$12:$U1000,W$1)</f>
        <v>0</v>
      </c>
      <c r="X5" s="10"/>
      <c r="Y5" s="43" t="s">
        <v>35</v>
      </c>
      <c r="Z5" s="44" t="str">
        <f>IF(MAX(X12:X1000) &gt; 0, MAX(X12:X1000), "No Target")</f>
        <v>No Target</v>
      </c>
      <c r="AA5" s="45"/>
    </row>
    <row r="6" spans="1:27" ht="25.5">
      <c r="A6" s="26" t="s">
        <v>36</v>
      </c>
      <c r="B6" s="27" t="s">
        <v>24</v>
      </c>
      <c r="C6" s="2"/>
      <c r="D6" s="2"/>
      <c r="E6" s="46" t="s">
        <v>37</v>
      </c>
      <c r="F6" s="2"/>
      <c r="G6" s="2"/>
      <c r="H6" s="2"/>
      <c r="I6" s="2"/>
      <c r="J6" s="102"/>
      <c r="K6" s="98" t="s">
        <v>38</v>
      </c>
      <c r="L6" s="23">
        <f>COUNTIF($K$12:$K1003,$K6)</f>
        <v>0</v>
      </c>
      <c r="M6" s="30">
        <f t="shared" si="0"/>
        <v>0</v>
      </c>
      <c r="N6" s="10"/>
      <c r="O6" s="47" t="s">
        <v>32</v>
      </c>
      <c r="P6" s="32">
        <f>COUNTIF($O$12:$O1003,O6)</f>
        <v>0</v>
      </c>
      <c r="Q6" s="33">
        <f>COUNTIFS($O$12:$O1003,$O6,$S$12:$S1003,$S$8)</f>
        <v>0</v>
      </c>
      <c r="R6" s="10"/>
      <c r="S6" s="48" t="s">
        <v>39</v>
      </c>
      <c r="T6" s="21">
        <f>COUNTIF($S$12:$S1004, $S6)</f>
        <v>0</v>
      </c>
      <c r="U6" s="22" t="str">
        <f t="shared" si="1"/>
        <v>-</v>
      </c>
      <c r="V6" s="23">
        <f>COUNTIFS($S$12:$S1000,$S6,$U$12:$U1000,V$1)</f>
        <v>0</v>
      </c>
      <c r="W6" s="23">
        <f>COUNTIFS($S$12:$S1000,$S6,$U$12:$U1000,W$1)</f>
        <v>0</v>
      </c>
      <c r="X6" s="10"/>
      <c r="Y6" s="49" t="s">
        <v>40</v>
      </c>
      <c r="Z6" s="44" t="str">
        <f>IF(MAX(Y12:Y1000) &gt; 0, MAX(Y12:Y1000), "No Target")</f>
        <v>No Target</v>
      </c>
      <c r="AA6" s="10"/>
    </row>
    <row r="7" spans="1:27" ht="25.5">
      <c r="C7" s="2"/>
      <c r="D7" s="2"/>
      <c r="E7" s="50" t="s">
        <v>41</v>
      </c>
      <c r="F7" s="2"/>
      <c r="G7" s="2"/>
      <c r="H7" s="2"/>
      <c r="I7" s="2"/>
      <c r="J7" s="102"/>
      <c r="K7" s="99" t="s">
        <v>42</v>
      </c>
      <c r="L7" s="23">
        <f>COUNTIFS($K$12:$K1000,"",E12:E1000,"*")</f>
        <v>69</v>
      </c>
      <c r="M7" s="30">
        <f t="shared" si="0"/>
        <v>1</v>
      </c>
      <c r="N7" s="10"/>
      <c r="O7" s="51" t="s">
        <v>43</v>
      </c>
      <c r="P7" s="18">
        <f>COUNTIF($O$12:$O1004,O7)</f>
        <v>0</v>
      </c>
      <c r="Q7" s="33" t="s">
        <v>13</v>
      </c>
      <c r="R7" s="2"/>
      <c r="S7" s="52" t="s">
        <v>44</v>
      </c>
      <c r="T7" s="21">
        <f>COUNTIF($S$12:$S1005, $S7)</f>
        <v>0</v>
      </c>
      <c r="U7" s="22" t="str">
        <f t="shared" si="1"/>
        <v>-</v>
      </c>
      <c r="V7" s="23">
        <f>COUNTIFS($S$12:$S1000,$S7,$U$12:$U1000,V$1)</f>
        <v>0</v>
      </c>
      <c r="W7" s="23">
        <f>COUNTIFS($S$12:$S1000,$S7,$U$12:$U1000,W$1)</f>
        <v>0</v>
      </c>
      <c r="X7" s="10"/>
      <c r="Y7" s="1" t="s">
        <v>45</v>
      </c>
      <c r="Z7" s="53">
        <f ca="1">TODAY()</f>
        <v>46239</v>
      </c>
      <c r="AA7" s="10"/>
    </row>
    <row r="8" spans="1:27" ht="12.75">
      <c r="A8" s="2"/>
      <c r="B8" s="2"/>
      <c r="C8" s="2"/>
      <c r="D8" s="2"/>
      <c r="E8" s="54" t="s">
        <v>46</v>
      </c>
      <c r="F8" s="2"/>
      <c r="G8" s="2"/>
      <c r="H8" s="2"/>
      <c r="I8" s="2"/>
      <c r="J8" s="102"/>
      <c r="K8" s="55" t="s">
        <v>47</v>
      </c>
      <c r="L8" s="56">
        <f>SUM(L2:L5)</f>
        <v>0</v>
      </c>
      <c r="M8" s="57">
        <f t="shared" si="0"/>
        <v>0</v>
      </c>
      <c r="N8" s="10"/>
      <c r="O8" s="58" t="s">
        <v>48</v>
      </c>
      <c r="P8" s="32">
        <f>COUNTIF($O$12:$O1005,O8)</f>
        <v>0</v>
      </c>
      <c r="Q8" s="33" t="s">
        <v>13</v>
      </c>
      <c r="R8" s="2"/>
      <c r="S8" s="59" t="s">
        <v>49</v>
      </c>
      <c r="T8" s="60">
        <f>COUNTIF($S$12:$S1006, $S8)</f>
        <v>0</v>
      </c>
      <c r="U8" s="61" t="str">
        <f t="shared" si="1"/>
        <v>-</v>
      </c>
      <c r="V8" s="23">
        <f>COUNTIFS($S$12:$S1000,$S8,$U$12:$U1000,V$1)</f>
        <v>0</v>
      </c>
      <c r="W8" s="23">
        <f>COUNTIFS($S$12:$S1000,$S8,$U$12:$U1000,W$1)</f>
        <v>0</v>
      </c>
      <c r="X8" s="10"/>
      <c r="Y8" s="10"/>
      <c r="Z8" s="10"/>
      <c r="AA8" s="10"/>
    </row>
    <row r="9" spans="1:27" ht="12.75">
      <c r="A9" s="2"/>
      <c r="B9" s="2"/>
      <c r="C9" s="2"/>
      <c r="D9" s="2"/>
      <c r="E9" s="10"/>
      <c r="F9" s="2"/>
      <c r="G9" s="2"/>
      <c r="H9" s="2"/>
      <c r="I9" s="2"/>
      <c r="J9" s="102"/>
      <c r="K9" s="10"/>
      <c r="L9" s="10"/>
      <c r="M9" s="10"/>
      <c r="N9" s="10"/>
      <c r="O9" s="62" t="s">
        <v>50</v>
      </c>
      <c r="P9" s="18">
        <f>COUNTIFS($O$12:$O1000, "",$R$12:$R1000,"*")</f>
        <v>0</v>
      </c>
      <c r="Q9" s="63">
        <f>COUNTIFS($O$12:$O1000,"",$S$12:$S1000,$S$8)</f>
        <v>0</v>
      </c>
      <c r="R9" s="2"/>
      <c r="S9" s="40" t="s">
        <v>51</v>
      </c>
      <c r="T9" s="21">
        <f>COUNTIF($S$12:$S1007, $S9)</f>
        <v>0</v>
      </c>
      <c r="U9" s="22" t="str">
        <f t="shared" si="1"/>
        <v>-</v>
      </c>
      <c r="V9" s="23">
        <f>COUNTIFS($S$12:$S1000,$S9,$U$12:$U1000,V$1)</f>
        <v>0</v>
      </c>
      <c r="W9" s="23">
        <f>COUNTIFS($S$12:$S1000,$S9,$U$12:$U1000,W$1)</f>
        <v>0</v>
      </c>
      <c r="X9" s="2"/>
      <c r="Y9" s="10"/>
      <c r="Z9" s="10"/>
      <c r="AA9" s="10"/>
    </row>
    <row r="10" spans="1:27" ht="25.5">
      <c r="A10" s="2"/>
      <c r="B10" s="2"/>
      <c r="C10" s="2"/>
      <c r="D10" s="64" t="s">
        <v>52</v>
      </c>
      <c r="E10" s="65">
        <f>COUNTA($E$13:$E1000)</f>
        <v>69</v>
      </c>
      <c r="F10" s="2"/>
      <c r="G10" s="2"/>
      <c r="H10" s="2"/>
      <c r="I10" s="2"/>
      <c r="J10" s="102"/>
      <c r="K10" s="113" t="s">
        <v>53</v>
      </c>
      <c r="L10" s="114"/>
      <c r="M10" s="114"/>
      <c r="N10" s="114"/>
      <c r="O10" s="117" t="s">
        <v>54</v>
      </c>
      <c r="P10" s="114"/>
      <c r="Q10" s="114"/>
      <c r="R10" s="118"/>
      <c r="S10" s="115" t="s">
        <v>55</v>
      </c>
      <c r="T10" s="114"/>
      <c r="U10" s="114"/>
      <c r="V10" s="114"/>
      <c r="W10" s="114"/>
      <c r="X10" s="114"/>
      <c r="Y10" s="114"/>
      <c r="Z10" s="114"/>
      <c r="AA10" s="116"/>
    </row>
    <row r="11" spans="1:27" ht="25.5">
      <c r="A11" s="66" t="s">
        <v>56</v>
      </c>
      <c r="B11" s="66" t="s">
        <v>57</v>
      </c>
      <c r="C11" s="66" t="s">
        <v>58</v>
      </c>
      <c r="D11" s="66" t="s">
        <v>59</v>
      </c>
      <c r="E11" s="66" t="s">
        <v>60</v>
      </c>
      <c r="F11" s="66" t="s">
        <v>61</v>
      </c>
      <c r="G11" s="66" t="s">
        <v>62</v>
      </c>
      <c r="H11" s="67" t="s">
        <v>63</v>
      </c>
      <c r="I11" s="92" t="s">
        <v>64</v>
      </c>
      <c r="J11" s="67" t="s">
        <v>65</v>
      </c>
      <c r="K11" s="100" t="s">
        <v>66</v>
      </c>
      <c r="L11" s="68" t="s">
        <v>67</v>
      </c>
      <c r="M11" s="68" t="s">
        <v>68</v>
      </c>
      <c r="N11" s="106" t="s">
        <v>69</v>
      </c>
      <c r="O11" s="105" t="s">
        <v>70</v>
      </c>
      <c r="P11" s="69" t="s">
        <v>67</v>
      </c>
      <c r="Q11" s="69" t="s">
        <v>71</v>
      </c>
      <c r="R11" s="69" t="s">
        <v>5</v>
      </c>
      <c r="S11" s="70" t="s">
        <v>72</v>
      </c>
      <c r="T11" s="71" t="s">
        <v>67</v>
      </c>
      <c r="U11" s="71" t="s">
        <v>73</v>
      </c>
      <c r="V11" s="71" t="s">
        <v>74</v>
      </c>
      <c r="W11" s="71" t="s">
        <v>75</v>
      </c>
      <c r="X11" s="71" t="s">
        <v>76</v>
      </c>
      <c r="Y11" s="71" t="s">
        <v>77</v>
      </c>
      <c r="Z11" s="72" t="s">
        <v>78</v>
      </c>
      <c r="AA11" s="72" t="s">
        <v>79</v>
      </c>
    </row>
    <row r="12" spans="1:27" ht="12.75">
      <c r="A12" s="86">
        <f>COUNTA($E13:$E19)</f>
        <v>7</v>
      </c>
      <c r="B12" s="87" t="s">
        <v>80</v>
      </c>
      <c r="C12" s="87"/>
      <c r="D12" s="87"/>
      <c r="E12" s="87"/>
      <c r="F12" s="88" t="str">
        <f>IFERROR(COUNTIF($K13:$K19,$K$2)/COUNTA($K13:$K19),"-")</f>
        <v>-</v>
      </c>
      <c r="G12" s="87"/>
      <c r="H12" s="87"/>
      <c r="I12" s="87"/>
      <c r="J12" s="103" t="str">
        <f t="shared" ref="J12:J43" ca="1" si="2">IF(A12&lt;&gt;"", RANDBETWEEN(2, 15) &amp; " mins", "")</f>
        <v>6 mins</v>
      </c>
      <c r="K12" s="2"/>
      <c r="L12" s="80"/>
      <c r="M12" s="2"/>
      <c r="N12" s="107"/>
      <c r="O12" s="2"/>
      <c r="P12" s="85"/>
      <c r="Q12" s="2"/>
      <c r="R12" s="112"/>
      <c r="S12" s="2"/>
      <c r="T12" s="85"/>
      <c r="U12" s="2"/>
      <c r="V12" s="2"/>
      <c r="W12" s="2"/>
      <c r="X12" s="80"/>
      <c r="Y12" s="80"/>
      <c r="Z12" s="2"/>
      <c r="AA12" s="112"/>
    </row>
    <row r="13" spans="1:27" ht="76.5">
      <c r="A13" s="86" t="s">
        <v>81</v>
      </c>
      <c r="B13" s="89" t="s">
        <v>80</v>
      </c>
      <c r="C13" s="89" t="s">
        <v>82</v>
      </c>
      <c r="D13" s="89" t="s">
        <v>13</v>
      </c>
      <c r="E13" s="89" t="s">
        <v>83</v>
      </c>
      <c r="F13" s="90" t="s">
        <v>84</v>
      </c>
      <c r="G13" s="90" t="s">
        <v>85</v>
      </c>
      <c r="H13" s="90" t="s">
        <v>86</v>
      </c>
      <c r="I13" s="90" t="s">
        <v>87</v>
      </c>
      <c r="J13" s="104" t="str">
        <f t="shared" ca="1" si="2"/>
        <v>13 mins</v>
      </c>
      <c r="K13" s="101"/>
      <c r="L13" s="74"/>
      <c r="M13" s="75"/>
      <c r="N13" s="108"/>
      <c r="O13" s="2"/>
      <c r="P13" s="85"/>
      <c r="Q13" s="2"/>
      <c r="R13" s="107"/>
      <c r="S13" s="2"/>
      <c r="T13" s="85"/>
      <c r="U13" s="2"/>
      <c r="V13" s="73"/>
      <c r="W13" s="2"/>
      <c r="X13" s="80"/>
      <c r="Y13" s="80"/>
      <c r="Z13" s="2"/>
      <c r="AA13" s="107"/>
    </row>
    <row r="14" spans="1:27" ht="76.5">
      <c r="A14" s="86" t="s">
        <v>88</v>
      </c>
      <c r="B14" s="89" t="s">
        <v>80</v>
      </c>
      <c r="C14" s="89" t="s">
        <v>82</v>
      </c>
      <c r="D14" s="89" t="s">
        <v>13</v>
      </c>
      <c r="E14" s="89" t="s">
        <v>89</v>
      </c>
      <c r="F14" s="90" t="s">
        <v>90</v>
      </c>
      <c r="G14" s="90" t="s">
        <v>91</v>
      </c>
      <c r="H14" s="90" t="s">
        <v>92</v>
      </c>
      <c r="I14" s="90" t="s">
        <v>87</v>
      </c>
      <c r="J14" s="104" t="str">
        <f t="shared" ca="1" si="2"/>
        <v>12 mins</v>
      </c>
      <c r="K14" s="101"/>
      <c r="L14" s="74"/>
      <c r="M14" s="75"/>
      <c r="N14" s="108"/>
      <c r="O14" s="2"/>
      <c r="P14" s="85"/>
      <c r="Q14" s="2"/>
      <c r="R14" s="107"/>
      <c r="S14" s="2"/>
      <c r="T14" s="85"/>
      <c r="U14" s="2"/>
      <c r="V14" s="73"/>
      <c r="W14" s="2"/>
      <c r="X14" s="80"/>
      <c r="Y14" s="80"/>
      <c r="Z14" s="2"/>
      <c r="AA14" s="107"/>
    </row>
    <row r="15" spans="1:27" ht="76.5">
      <c r="A15" s="86" t="s">
        <v>93</v>
      </c>
      <c r="B15" s="89" t="s">
        <v>80</v>
      </c>
      <c r="C15" s="89" t="s">
        <v>82</v>
      </c>
      <c r="D15" s="89" t="s">
        <v>13</v>
      </c>
      <c r="E15" s="89" t="s">
        <v>94</v>
      </c>
      <c r="F15" s="91" t="s">
        <v>95</v>
      </c>
      <c r="G15" s="90" t="s">
        <v>96</v>
      </c>
      <c r="H15" s="90" t="s">
        <v>92</v>
      </c>
      <c r="I15" s="90" t="s">
        <v>87</v>
      </c>
      <c r="J15" s="104" t="str">
        <f t="shared" ca="1" si="2"/>
        <v>11 mins</v>
      </c>
      <c r="K15" s="2"/>
      <c r="L15" s="80"/>
      <c r="M15" s="2"/>
      <c r="N15" s="107"/>
      <c r="O15" s="2"/>
      <c r="P15" s="85"/>
      <c r="Q15" s="2"/>
      <c r="R15" s="107"/>
      <c r="S15" s="2"/>
      <c r="T15" s="85"/>
      <c r="U15" s="2"/>
      <c r="V15" s="2"/>
      <c r="W15" s="2"/>
      <c r="X15" s="80"/>
      <c r="Y15" s="80"/>
      <c r="Z15" s="2"/>
      <c r="AA15" s="107"/>
    </row>
    <row r="16" spans="1:27" ht="89.25">
      <c r="A16" s="86" t="s">
        <v>97</v>
      </c>
      <c r="B16" s="89" t="s">
        <v>80</v>
      </c>
      <c r="C16" s="89" t="s">
        <v>98</v>
      </c>
      <c r="D16" s="89" t="s">
        <v>13</v>
      </c>
      <c r="E16" s="89" t="s">
        <v>99</v>
      </c>
      <c r="F16" s="90" t="s">
        <v>100</v>
      </c>
      <c r="G16" s="90" t="s">
        <v>101</v>
      </c>
      <c r="H16" s="90" t="s">
        <v>86</v>
      </c>
      <c r="I16" s="90" t="s">
        <v>102</v>
      </c>
      <c r="J16" s="104" t="str">
        <f t="shared" ca="1" si="2"/>
        <v>12 mins</v>
      </c>
      <c r="K16" s="101"/>
      <c r="L16" s="74"/>
      <c r="M16" s="75"/>
      <c r="N16" s="108"/>
      <c r="O16" s="101"/>
      <c r="P16" s="76"/>
      <c r="Q16" s="77"/>
      <c r="R16" s="110"/>
      <c r="S16" s="101"/>
      <c r="T16" s="76"/>
      <c r="U16" s="78"/>
      <c r="V16" s="73"/>
      <c r="W16" s="79"/>
      <c r="X16" s="80"/>
      <c r="Y16" s="80"/>
      <c r="Z16" s="2"/>
      <c r="AA16" s="107"/>
    </row>
    <row r="17" spans="1:27" ht="76.5">
      <c r="A17" s="86" t="s">
        <v>103</v>
      </c>
      <c r="B17" s="89" t="s">
        <v>80</v>
      </c>
      <c r="C17" s="89" t="s">
        <v>98</v>
      </c>
      <c r="D17" s="89" t="s">
        <v>13</v>
      </c>
      <c r="E17" s="89" t="s">
        <v>104</v>
      </c>
      <c r="F17" s="90" t="s">
        <v>105</v>
      </c>
      <c r="G17" s="90" t="s">
        <v>106</v>
      </c>
      <c r="H17" s="90" t="s">
        <v>92</v>
      </c>
      <c r="I17" s="90" t="s">
        <v>102</v>
      </c>
      <c r="J17" s="104" t="str">
        <f t="shared" ca="1" si="2"/>
        <v>15 mins</v>
      </c>
      <c r="N17" s="109"/>
      <c r="R17" s="110"/>
      <c r="S17" s="101"/>
      <c r="T17" s="76"/>
      <c r="U17" s="78"/>
      <c r="V17" s="73"/>
      <c r="W17" s="79"/>
      <c r="X17" s="80"/>
      <c r="Y17" s="80"/>
      <c r="Z17" s="2"/>
      <c r="AA17" s="107"/>
    </row>
    <row r="18" spans="1:27" ht="51">
      <c r="A18" s="86" t="s">
        <v>107</v>
      </c>
      <c r="B18" s="89" t="s">
        <v>80</v>
      </c>
      <c r="C18" s="89" t="s">
        <v>108</v>
      </c>
      <c r="D18" s="89" t="s">
        <v>13</v>
      </c>
      <c r="E18" s="89" t="s">
        <v>109</v>
      </c>
      <c r="F18" s="90" t="s">
        <v>110</v>
      </c>
      <c r="G18" s="90" t="s">
        <v>111</v>
      </c>
      <c r="H18" s="90" t="s">
        <v>86</v>
      </c>
      <c r="I18" s="90" t="s">
        <v>112</v>
      </c>
      <c r="J18" s="104" t="str">
        <f t="shared" ca="1" si="2"/>
        <v>3 mins</v>
      </c>
      <c r="K18" s="101"/>
      <c r="L18" s="74"/>
      <c r="M18" s="75"/>
      <c r="N18" s="108"/>
      <c r="O18" s="101"/>
      <c r="P18" s="76"/>
      <c r="Q18" s="77"/>
      <c r="R18" s="110"/>
      <c r="S18" s="101"/>
      <c r="T18" s="76"/>
      <c r="U18" s="78"/>
      <c r="V18" s="73"/>
      <c r="W18" s="79"/>
      <c r="X18" s="80"/>
      <c r="Y18" s="74"/>
      <c r="Z18" s="2"/>
      <c r="AA18" s="107"/>
    </row>
    <row r="19" spans="1:27" ht="76.5">
      <c r="A19" s="86" t="s">
        <v>113</v>
      </c>
      <c r="B19" s="89" t="s">
        <v>80</v>
      </c>
      <c r="C19" s="89" t="s">
        <v>114</v>
      </c>
      <c r="D19" s="89" t="s">
        <v>13</v>
      </c>
      <c r="E19" s="89" t="s">
        <v>115</v>
      </c>
      <c r="F19" s="90" t="s">
        <v>116</v>
      </c>
      <c r="G19" s="90" t="s">
        <v>117</v>
      </c>
      <c r="H19" s="90" t="s">
        <v>86</v>
      </c>
      <c r="I19" s="90" t="s">
        <v>87</v>
      </c>
      <c r="J19" s="104" t="str">
        <f t="shared" ca="1" si="2"/>
        <v>14 mins</v>
      </c>
      <c r="N19" s="109"/>
      <c r="O19" s="101"/>
      <c r="P19" s="76"/>
      <c r="Q19" s="77"/>
      <c r="R19" s="111"/>
      <c r="S19" s="101"/>
      <c r="T19" s="76"/>
      <c r="U19" s="81"/>
      <c r="V19" s="82"/>
      <c r="W19" s="73"/>
      <c r="X19" s="80"/>
      <c r="Y19" s="80"/>
      <c r="Z19" s="2"/>
      <c r="AA19" s="107"/>
    </row>
    <row r="20" spans="1:27" ht="12.75">
      <c r="A20" s="86">
        <f>COUNTA($E21:$E26)</f>
        <v>6</v>
      </c>
      <c r="B20" s="87" t="s">
        <v>118</v>
      </c>
      <c r="C20" s="87"/>
      <c r="D20" s="87"/>
      <c r="E20" s="87"/>
      <c r="F20" s="88" t="str">
        <f>IFERROR(COUNTIF($K21:$K26,$K$2)/COUNTA($K21:$K26),"-")</f>
        <v>-</v>
      </c>
      <c r="G20" s="87"/>
      <c r="H20" s="87"/>
      <c r="I20" s="87"/>
      <c r="J20" s="103" t="str">
        <f t="shared" ca="1" si="2"/>
        <v>12 mins</v>
      </c>
      <c r="K20" s="101"/>
      <c r="L20" s="74"/>
      <c r="M20" s="75"/>
      <c r="N20" s="108"/>
      <c r="O20" s="101"/>
      <c r="P20" s="76"/>
      <c r="Q20" s="77"/>
      <c r="R20" s="111"/>
      <c r="S20" s="101"/>
      <c r="T20" s="76"/>
      <c r="U20" s="81"/>
      <c r="V20" s="82"/>
      <c r="W20" s="73"/>
      <c r="X20" s="80"/>
      <c r="Y20" s="74"/>
      <c r="Z20" s="2"/>
      <c r="AA20" s="107"/>
    </row>
    <row r="21" spans="1:27" ht="63.75">
      <c r="A21" s="86" t="s">
        <v>119</v>
      </c>
      <c r="B21" s="89" t="s">
        <v>118</v>
      </c>
      <c r="C21" s="89" t="s">
        <v>82</v>
      </c>
      <c r="D21" s="89" t="s">
        <v>13</v>
      </c>
      <c r="E21" s="89" t="s">
        <v>120</v>
      </c>
      <c r="F21" s="90" t="s">
        <v>121</v>
      </c>
      <c r="G21" s="90" t="s">
        <v>122</v>
      </c>
      <c r="H21" s="90" t="s">
        <v>86</v>
      </c>
      <c r="I21" s="90" t="s">
        <v>112</v>
      </c>
      <c r="J21" s="104" t="str">
        <f t="shared" ca="1" si="2"/>
        <v>5 mins</v>
      </c>
      <c r="K21" s="101"/>
      <c r="L21" s="74"/>
      <c r="M21" s="75"/>
      <c r="N21" s="108"/>
      <c r="O21" s="101"/>
      <c r="P21" s="76"/>
      <c r="Q21" s="83"/>
      <c r="R21" s="110"/>
      <c r="S21" s="101"/>
      <c r="T21" s="84"/>
      <c r="U21" s="81"/>
      <c r="V21" s="82"/>
      <c r="W21" s="73"/>
      <c r="X21" s="80"/>
      <c r="Y21" s="74"/>
      <c r="Z21" s="2"/>
      <c r="AA21" s="107"/>
    </row>
    <row r="22" spans="1:27" ht="63.75">
      <c r="A22" s="86" t="s">
        <v>123</v>
      </c>
      <c r="B22" s="89" t="s">
        <v>118</v>
      </c>
      <c r="C22" s="89" t="s">
        <v>82</v>
      </c>
      <c r="D22" s="89" t="s">
        <v>13</v>
      </c>
      <c r="E22" s="89" t="s">
        <v>124</v>
      </c>
      <c r="F22" s="90" t="s">
        <v>125</v>
      </c>
      <c r="G22" s="90" t="s">
        <v>126</v>
      </c>
      <c r="H22" s="90" t="s">
        <v>92</v>
      </c>
      <c r="I22" s="90" t="s">
        <v>112</v>
      </c>
      <c r="J22" s="104" t="str">
        <f t="shared" ca="1" si="2"/>
        <v>9 mins</v>
      </c>
      <c r="K22" s="101"/>
      <c r="L22" s="74"/>
      <c r="M22" s="75"/>
      <c r="N22" s="108"/>
      <c r="O22" s="101"/>
      <c r="P22" s="76"/>
      <c r="Q22" s="83"/>
      <c r="R22" s="110"/>
      <c r="S22" s="101"/>
      <c r="T22" s="76"/>
      <c r="U22" s="78"/>
      <c r="V22" s="73"/>
      <c r="W22" s="79"/>
      <c r="X22" s="80"/>
      <c r="Y22" s="74"/>
      <c r="Z22" s="2"/>
      <c r="AA22" s="107"/>
    </row>
    <row r="23" spans="1:27" ht="89.25">
      <c r="A23" s="86" t="s">
        <v>127</v>
      </c>
      <c r="B23" s="89" t="s">
        <v>118</v>
      </c>
      <c r="C23" s="89" t="s">
        <v>82</v>
      </c>
      <c r="D23" s="89" t="s">
        <v>128</v>
      </c>
      <c r="E23" s="89" t="s">
        <v>129</v>
      </c>
      <c r="F23" s="90" t="s">
        <v>130</v>
      </c>
      <c r="G23" s="90" t="s">
        <v>131</v>
      </c>
      <c r="H23" s="90" t="s">
        <v>92</v>
      </c>
      <c r="I23" s="90" t="s">
        <v>112</v>
      </c>
      <c r="J23" s="104" t="str">
        <f t="shared" ca="1" si="2"/>
        <v>15 mins</v>
      </c>
      <c r="K23" s="101"/>
      <c r="L23" s="74"/>
      <c r="M23" s="75"/>
      <c r="N23" s="108"/>
      <c r="O23" s="101"/>
      <c r="P23" s="76"/>
      <c r="Q23" s="83"/>
      <c r="R23" s="110"/>
      <c r="S23" s="101"/>
      <c r="T23" s="76"/>
      <c r="U23" s="78"/>
      <c r="V23" s="73"/>
      <c r="W23" s="79"/>
      <c r="X23" s="80"/>
      <c r="Y23" s="74"/>
      <c r="Z23" s="2"/>
      <c r="AA23" s="107"/>
    </row>
    <row r="24" spans="1:27" ht="63.75">
      <c r="A24" s="86" t="s">
        <v>132</v>
      </c>
      <c r="B24" s="89" t="s">
        <v>118</v>
      </c>
      <c r="C24" s="89" t="s">
        <v>82</v>
      </c>
      <c r="D24" s="89" t="s">
        <v>13</v>
      </c>
      <c r="E24" s="89" t="s">
        <v>133</v>
      </c>
      <c r="F24" s="90" t="s">
        <v>134</v>
      </c>
      <c r="G24" s="90" t="s">
        <v>135</v>
      </c>
      <c r="H24" s="90" t="s">
        <v>92</v>
      </c>
      <c r="I24" s="90" t="s">
        <v>112</v>
      </c>
      <c r="J24" s="104" t="str">
        <f t="shared" ca="1" si="2"/>
        <v>12 mins</v>
      </c>
      <c r="K24" s="101"/>
      <c r="L24" s="74"/>
      <c r="M24" s="75"/>
      <c r="N24" s="108"/>
      <c r="O24" s="101"/>
      <c r="P24" s="76"/>
      <c r="Q24" s="83"/>
      <c r="R24" s="110"/>
      <c r="S24" s="101"/>
      <c r="T24" s="76"/>
      <c r="U24" s="78"/>
      <c r="V24" s="73"/>
      <c r="W24" s="79"/>
      <c r="X24" s="80"/>
      <c r="Y24" s="74"/>
      <c r="Z24" s="2"/>
      <c r="AA24" s="107"/>
    </row>
    <row r="25" spans="1:27" ht="89.25">
      <c r="A25" s="86" t="s">
        <v>136</v>
      </c>
      <c r="B25" s="89" t="s">
        <v>118</v>
      </c>
      <c r="C25" s="89" t="s">
        <v>98</v>
      </c>
      <c r="D25" s="89" t="s">
        <v>13</v>
      </c>
      <c r="E25" s="89" t="s">
        <v>137</v>
      </c>
      <c r="F25" s="90" t="s">
        <v>138</v>
      </c>
      <c r="G25" s="90" t="s">
        <v>139</v>
      </c>
      <c r="H25" s="90" t="s">
        <v>92</v>
      </c>
      <c r="I25" s="90" t="s">
        <v>112</v>
      </c>
      <c r="J25" s="104" t="str">
        <f t="shared" ca="1" si="2"/>
        <v>13 mins</v>
      </c>
      <c r="N25" s="109"/>
      <c r="O25" s="101"/>
      <c r="P25" s="76"/>
      <c r="Q25" s="83"/>
      <c r="R25" s="110"/>
      <c r="S25" s="101"/>
      <c r="T25" s="76"/>
      <c r="U25" s="78"/>
      <c r="V25" s="73"/>
      <c r="W25" s="79"/>
      <c r="X25" s="80"/>
      <c r="Y25" s="74"/>
      <c r="Z25" s="2"/>
      <c r="AA25" s="107"/>
    </row>
    <row r="26" spans="1:27" ht="51">
      <c r="A26" s="86" t="s">
        <v>140</v>
      </c>
      <c r="B26" s="89" t="s">
        <v>118</v>
      </c>
      <c r="C26" s="89" t="s">
        <v>108</v>
      </c>
      <c r="D26" s="89" t="s">
        <v>13</v>
      </c>
      <c r="E26" s="89" t="s">
        <v>141</v>
      </c>
      <c r="F26" s="90" t="s">
        <v>142</v>
      </c>
      <c r="G26" s="90" t="s">
        <v>143</v>
      </c>
      <c r="H26" s="90" t="s">
        <v>86</v>
      </c>
      <c r="I26" s="90" t="s">
        <v>112</v>
      </c>
      <c r="J26" s="104" t="str">
        <f t="shared" ca="1" si="2"/>
        <v>2 mins</v>
      </c>
      <c r="K26" s="101"/>
      <c r="L26" s="74"/>
      <c r="M26" s="75"/>
      <c r="N26" s="108"/>
      <c r="O26" s="101"/>
      <c r="P26" s="76"/>
      <c r="Q26" s="77"/>
      <c r="R26" s="110"/>
      <c r="S26" s="101"/>
      <c r="T26" s="76"/>
      <c r="U26" s="78"/>
      <c r="V26" s="73"/>
      <c r="W26" s="79"/>
      <c r="X26" s="80"/>
      <c r="Y26" s="80"/>
      <c r="Z26" s="2"/>
      <c r="AA26" s="107"/>
    </row>
    <row r="27" spans="1:27" ht="25.5">
      <c r="A27" s="86">
        <f>COUNTA($E28:$E35)</f>
        <v>8</v>
      </c>
      <c r="B27" s="87" t="s">
        <v>144</v>
      </c>
      <c r="C27" s="87"/>
      <c r="D27" s="87"/>
      <c r="E27" s="87"/>
      <c r="F27" s="88" t="str">
        <f>IFERROR(COUNTIF($K28:$K35,$K$2)/COUNTA($K28:$K35),"-")</f>
        <v>-</v>
      </c>
      <c r="G27" s="87"/>
      <c r="H27" s="87"/>
      <c r="I27" s="87"/>
      <c r="J27" s="103" t="str">
        <f t="shared" ca="1" si="2"/>
        <v>10 mins</v>
      </c>
      <c r="K27" s="101"/>
      <c r="L27" s="74"/>
      <c r="M27" s="75"/>
      <c r="N27" s="108"/>
      <c r="O27" s="2"/>
      <c r="P27" s="85"/>
      <c r="Q27" s="2"/>
      <c r="R27" s="107"/>
      <c r="S27" s="2"/>
      <c r="T27" s="85"/>
      <c r="U27" s="2"/>
      <c r="V27" s="73"/>
      <c r="W27" s="2"/>
      <c r="X27" s="80"/>
      <c r="Y27" s="80"/>
      <c r="Z27" s="2"/>
      <c r="AA27" s="107"/>
    </row>
    <row r="28" spans="1:27" ht="76.5">
      <c r="A28" s="86" t="s">
        <v>145</v>
      </c>
      <c r="B28" s="89" t="s">
        <v>146</v>
      </c>
      <c r="C28" s="89" t="s">
        <v>147</v>
      </c>
      <c r="D28" s="89" t="s">
        <v>148</v>
      </c>
      <c r="E28" s="89" t="s">
        <v>149</v>
      </c>
      <c r="F28" s="90" t="s">
        <v>150</v>
      </c>
      <c r="G28" s="90" t="s">
        <v>151</v>
      </c>
      <c r="H28" s="90" t="s">
        <v>86</v>
      </c>
      <c r="I28" s="90" t="s">
        <v>87</v>
      </c>
      <c r="J28" s="104" t="str">
        <f t="shared" ca="1" si="2"/>
        <v>9 mins</v>
      </c>
      <c r="K28" s="101"/>
      <c r="L28" s="74"/>
      <c r="M28" s="75"/>
      <c r="N28" s="108"/>
      <c r="O28" s="101"/>
      <c r="P28" s="76"/>
      <c r="Q28" s="83"/>
      <c r="R28" s="110"/>
      <c r="S28" s="101"/>
      <c r="T28" s="76"/>
      <c r="U28" s="78"/>
      <c r="V28" s="77"/>
      <c r="W28" s="79"/>
      <c r="X28" s="80"/>
      <c r="Y28" s="80"/>
      <c r="Z28" s="2"/>
      <c r="AA28" s="107"/>
    </row>
    <row r="29" spans="1:27" ht="89.25">
      <c r="A29" s="86" t="s">
        <v>152</v>
      </c>
      <c r="B29" s="89" t="s">
        <v>146</v>
      </c>
      <c r="C29" s="89" t="s">
        <v>147</v>
      </c>
      <c r="D29" s="89" t="s">
        <v>153</v>
      </c>
      <c r="E29" s="89" t="s">
        <v>154</v>
      </c>
      <c r="F29" s="90" t="s">
        <v>155</v>
      </c>
      <c r="G29" s="90" t="s">
        <v>156</v>
      </c>
      <c r="H29" s="90" t="s">
        <v>92</v>
      </c>
      <c r="I29" s="90" t="s">
        <v>112</v>
      </c>
      <c r="J29" s="104" t="str">
        <f t="shared" ca="1" si="2"/>
        <v>10 mins</v>
      </c>
      <c r="K29" s="101"/>
      <c r="L29" s="74"/>
      <c r="M29" s="75"/>
      <c r="N29" s="108"/>
      <c r="O29" s="101"/>
      <c r="P29" s="76"/>
      <c r="Q29" s="83"/>
      <c r="R29" s="110"/>
      <c r="S29" s="101"/>
      <c r="T29" s="76"/>
      <c r="U29" s="78"/>
      <c r="V29" s="77"/>
      <c r="W29" s="79"/>
      <c r="X29" s="80"/>
      <c r="Y29" s="74"/>
      <c r="Z29" s="73"/>
      <c r="AA29" s="107"/>
    </row>
    <row r="30" spans="1:27" ht="63.75">
      <c r="A30" s="86" t="s">
        <v>157</v>
      </c>
      <c r="B30" s="89" t="s">
        <v>146</v>
      </c>
      <c r="C30" s="89" t="s">
        <v>147</v>
      </c>
      <c r="D30" s="89" t="s">
        <v>158</v>
      </c>
      <c r="E30" s="89" t="s">
        <v>159</v>
      </c>
      <c r="F30" s="90" t="s">
        <v>160</v>
      </c>
      <c r="G30" s="90" t="s">
        <v>161</v>
      </c>
      <c r="H30" s="90" t="s">
        <v>86</v>
      </c>
      <c r="I30" s="90" t="s">
        <v>87</v>
      </c>
      <c r="J30" s="104" t="str">
        <f t="shared" ca="1" si="2"/>
        <v>4 mins</v>
      </c>
      <c r="N30" s="109"/>
      <c r="O30" s="101"/>
      <c r="P30" s="76"/>
      <c r="Q30" s="83"/>
      <c r="R30" s="111"/>
      <c r="S30" s="101"/>
      <c r="T30" s="76"/>
      <c r="U30" s="78"/>
      <c r="V30" s="77"/>
      <c r="W30" s="79"/>
      <c r="X30" s="80"/>
      <c r="Y30" s="80"/>
      <c r="Z30" s="2"/>
      <c r="AA30" s="107"/>
    </row>
    <row r="31" spans="1:27" ht="63.75">
      <c r="A31" s="86" t="s">
        <v>162</v>
      </c>
      <c r="B31" s="89" t="s">
        <v>146</v>
      </c>
      <c r="C31" s="89" t="s">
        <v>147</v>
      </c>
      <c r="D31" s="89" t="s">
        <v>163</v>
      </c>
      <c r="E31" s="89" t="s">
        <v>164</v>
      </c>
      <c r="F31" s="90" t="s">
        <v>165</v>
      </c>
      <c r="G31" s="90" t="s">
        <v>166</v>
      </c>
      <c r="H31" s="90" t="s">
        <v>86</v>
      </c>
      <c r="I31" s="90" t="s">
        <v>87</v>
      </c>
      <c r="J31" s="104" t="str">
        <f t="shared" ca="1" si="2"/>
        <v>13 mins</v>
      </c>
      <c r="K31" s="101"/>
      <c r="L31" s="74"/>
      <c r="M31" s="75"/>
      <c r="N31" s="108"/>
      <c r="O31" s="101"/>
      <c r="P31" s="76"/>
      <c r="Q31" s="83"/>
      <c r="R31" s="110"/>
      <c r="S31" s="101"/>
      <c r="T31" s="76"/>
      <c r="U31" s="78"/>
      <c r="V31" s="73"/>
      <c r="W31" s="79"/>
      <c r="X31" s="80"/>
      <c r="Y31" s="80"/>
      <c r="Z31" s="2"/>
      <c r="AA31" s="107"/>
    </row>
    <row r="32" spans="1:27" ht="153">
      <c r="A32" s="86" t="s">
        <v>167</v>
      </c>
      <c r="B32" s="89" t="s">
        <v>146</v>
      </c>
      <c r="C32" s="89" t="s">
        <v>147</v>
      </c>
      <c r="D32" s="89" t="s">
        <v>168</v>
      </c>
      <c r="E32" s="89" t="s">
        <v>169</v>
      </c>
      <c r="F32" s="90" t="s">
        <v>170</v>
      </c>
      <c r="G32" s="90" t="s">
        <v>171</v>
      </c>
      <c r="H32" s="90" t="s">
        <v>86</v>
      </c>
      <c r="I32" s="90" t="s">
        <v>172</v>
      </c>
      <c r="J32" s="104" t="str">
        <f t="shared" ca="1" si="2"/>
        <v>11 mins</v>
      </c>
      <c r="K32" s="101"/>
      <c r="L32" s="74"/>
      <c r="M32" s="75"/>
      <c r="N32" s="108"/>
      <c r="O32" s="2"/>
      <c r="P32" s="85"/>
      <c r="Q32" s="2"/>
      <c r="R32" s="107"/>
      <c r="S32" s="2"/>
      <c r="T32" s="85"/>
      <c r="U32" s="2"/>
      <c r="V32" s="73"/>
      <c r="W32" s="2"/>
      <c r="X32" s="80"/>
      <c r="Y32" s="80"/>
      <c r="Z32" s="2"/>
      <c r="AA32" s="107"/>
    </row>
    <row r="33" spans="1:27" ht="89.25">
      <c r="A33" s="86" t="s">
        <v>173</v>
      </c>
      <c r="B33" s="89" t="s">
        <v>146</v>
      </c>
      <c r="C33" s="89" t="s">
        <v>147</v>
      </c>
      <c r="D33" s="89" t="s">
        <v>174</v>
      </c>
      <c r="E33" s="89" t="s">
        <v>175</v>
      </c>
      <c r="F33" s="90" t="s">
        <v>176</v>
      </c>
      <c r="G33" s="90" t="s">
        <v>177</v>
      </c>
      <c r="H33" s="90" t="s">
        <v>86</v>
      </c>
      <c r="I33" s="90" t="s">
        <v>172</v>
      </c>
      <c r="J33" s="104" t="str">
        <f t="shared" ca="1" si="2"/>
        <v>2 mins</v>
      </c>
      <c r="N33" s="109"/>
      <c r="R33" s="109"/>
      <c r="AA33" s="109"/>
    </row>
    <row r="34" spans="1:27" ht="89.25">
      <c r="A34" s="86" t="s">
        <v>178</v>
      </c>
      <c r="B34" s="89" t="s">
        <v>146</v>
      </c>
      <c r="C34" s="89" t="s">
        <v>147</v>
      </c>
      <c r="D34" s="89" t="s">
        <v>179</v>
      </c>
      <c r="E34" s="89" t="s">
        <v>180</v>
      </c>
      <c r="F34" s="90" t="s">
        <v>181</v>
      </c>
      <c r="G34" s="90" t="s">
        <v>182</v>
      </c>
      <c r="H34" s="90" t="s">
        <v>86</v>
      </c>
      <c r="I34" s="90" t="s">
        <v>172</v>
      </c>
      <c r="J34" s="104" t="str">
        <f t="shared" ca="1" si="2"/>
        <v>7 mins</v>
      </c>
      <c r="N34" s="109"/>
      <c r="R34" s="109"/>
      <c r="AA34" s="109"/>
    </row>
    <row r="35" spans="1:27" ht="63.75">
      <c r="A35" s="86" t="s">
        <v>183</v>
      </c>
      <c r="B35" s="89" t="s">
        <v>146</v>
      </c>
      <c r="C35" s="89" t="s">
        <v>147</v>
      </c>
      <c r="D35" s="89" t="s">
        <v>184</v>
      </c>
      <c r="E35" s="89" t="s">
        <v>185</v>
      </c>
      <c r="F35" s="90" t="s">
        <v>186</v>
      </c>
      <c r="G35" s="90" t="s">
        <v>187</v>
      </c>
      <c r="H35" s="90" t="s">
        <v>92</v>
      </c>
      <c r="I35" s="90" t="s">
        <v>87</v>
      </c>
      <c r="J35" s="104" t="str">
        <f t="shared" ca="1" si="2"/>
        <v>9 mins</v>
      </c>
      <c r="N35" s="109"/>
      <c r="R35" s="109"/>
      <c r="AA35" s="109"/>
    </row>
    <row r="36" spans="1:27" ht="38.25">
      <c r="A36" s="86">
        <f>COUNTA($E37:$E40)</f>
        <v>4</v>
      </c>
      <c r="B36" s="87" t="s">
        <v>188</v>
      </c>
      <c r="C36" s="87"/>
      <c r="D36" s="87"/>
      <c r="E36" s="87"/>
      <c r="F36" s="88" t="str">
        <f>IFERROR(COUNTIF($K37:$K40,$K$2)/COUNTA($K37:$K40),"-")</f>
        <v>-</v>
      </c>
      <c r="G36" s="87"/>
      <c r="H36" s="87"/>
      <c r="I36" s="87"/>
      <c r="J36" s="103" t="str">
        <f t="shared" ca="1" si="2"/>
        <v>15 mins</v>
      </c>
      <c r="N36" s="109"/>
      <c r="R36" s="109"/>
      <c r="AA36" s="109"/>
    </row>
    <row r="37" spans="1:27" ht="63.75">
      <c r="A37" s="86" t="s">
        <v>189</v>
      </c>
      <c r="B37" s="89" t="s">
        <v>190</v>
      </c>
      <c r="C37" s="89" t="s">
        <v>191</v>
      </c>
      <c r="D37" s="89" t="s">
        <v>192</v>
      </c>
      <c r="E37" s="89" t="s">
        <v>193</v>
      </c>
      <c r="F37" s="90" t="s">
        <v>194</v>
      </c>
      <c r="G37" s="90" t="s">
        <v>195</v>
      </c>
      <c r="H37" s="90" t="s">
        <v>86</v>
      </c>
      <c r="I37" s="90" t="s">
        <v>87</v>
      </c>
      <c r="J37" s="104" t="str">
        <f t="shared" ca="1" si="2"/>
        <v>15 mins</v>
      </c>
      <c r="N37" s="109"/>
      <c r="R37" s="109"/>
      <c r="AA37" s="109"/>
    </row>
    <row r="38" spans="1:27" ht="63.75">
      <c r="A38" s="86" t="s">
        <v>196</v>
      </c>
      <c r="B38" s="89" t="s">
        <v>190</v>
      </c>
      <c r="C38" s="89" t="s">
        <v>191</v>
      </c>
      <c r="D38" s="89" t="s">
        <v>197</v>
      </c>
      <c r="E38" s="89" t="s">
        <v>198</v>
      </c>
      <c r="F38" s="90" t="s">
        <v>199</v>
      </c>
      <c r="G38" s="90" t="s">
        <v>200</v>
      </c>
      <c r="H38" s="90" t="s">
        <v>86</v>
      </c>
      <c r="I38" s="90" t="s">
        <v>87</v>
      </c>
      <c r="J38" s="104" t="str">
        <f t="shared" ca="1" si="2"/>
        <v>12 mins</v>
      </c>
      <c r="N38" s="109"/>
      <c r="R38" s="109"/>
      <c r="AA38" s="109"/>
    </row>
    <row r="39" spans="1:27" ht="127.5">
      <c r="A39" s="86" t="s">
        <v>201</v>
      </c>
      <c r="B39" s="89" t="s">
        <v>190</v>
      </c>
      <c r="C39" s="89" t="s">
        <v>191</v>
      </c>
      <c r="D39" s="89" t="s">
        <v>202</v>
      </c>
      <c r="E39" s="89" t="s">
        <v>203</v>
      </c>
      <c r="F39" s="90" t="s">
        <v>204</v>
      </c>
      <c r="G39" s="90" t="s">
        <v>205</v>
      </c>
      <c r="H39" s="90" t="s">
        <v>92</v>
      </c>
      <c r="I39" s="90" t="s">
        <v>87</v>
      </c>
      <c r="J39" s="104" t="str">
        <f t="shared" ca="1" si="2"/>
        <v>14 mins</v>
      </c>
      <c r="N39" s="109"/>
      <c r="R39" s="109"/>
      <c r="AA39" s="109"/>
    </row>
    <row r="40" spans="1:27" ht="63.75">
      <c r="A40" s="86" t="s">
        <v>206</v>
      </c>
      <c r="B40" s="89" t="s">
        <v>190</v>
      </c>
      <c r="C40" s="89" t="s">
        <v>191</v>
      </c>
      <c r="D40" s="89" t="s">
        <v>207</v>
      </c>
      <c r="E40" s="89" t="s">
        <v>208</v>
      </c>
      <c r="F40" s="90" t="s">
        <v>209</v>
      </c>
      <c r="G40" s="90" t="s">
        <v>210</v>
      </c>
      <c r="H40" s="90" t="s">
        <v>86</v>
      </c>
      <c r="I40" s="90" t="s">
        <v>87</v>
      </c>
      <c r="J40" s="104" t="str">
        <f t="shared" ca="1" si="2"/>
        <v>4 mins</v>
      </c>
      <c r="N40" s="109"/>
      <c r="R40" s="109"/>
      <c r="AA40" s="109"/>
    </row>
    <row r="41" spans="1:27" ht="38.25">
      <c r="A41" s="86">
        <f>COUNTA($E42:$E46)</f>
        <v>5</v>
      </c>
      <c r="B41" s="87" t="s">
        <v>211</v>
      </c>
      <c r="C41" s="87"/>
      <c r="D41" s="87"/>
      <c r="E41" s="87"/>
      <c r="F41" s="88" t="str">
        <f>IFERROR(COUNTIF($K42:$K46,$K$2)/COUNTA($K42:$K46),"-")</f>
        <v>-</v>
      </c>
      <c r="G41" s="87"/>
      <c r="H41" s="87"/>
      <c r="I41" s="87"/>
      <c r="J41" s="103" t="str">
        <f t="shared" ca="1" si="2"/>
        <v>2 mins</v>
      </c>
      <c r="N41" s="109"/>
      <c r="R41" s="109"/>
      <c r="AA41" s="109"/>
    </row>
    <row r="42" spans="1:27" ht="76.5">
      <c r="A42" s="86" t="s">
        <v>212</v>
      </c>
      <c r="B42" s="89" t="s">
        <v>190</v>
      </c>
      <c r="C42" s="89" t="s">
        <v>213</v>
      </c>
      <c r="D42" s="89" t="s">
        <v>213</v>
      </c>
      <c r="E42" s="89" t="s">
        <v>214</v>
      </c>
      <c r="F42" s="90" t="s">
        <v>215</v>
      </c>
      <c r="G42" s="90" t="s">
        <v>216</v>
      </c>
      <c r="H42" s="90" t="s">
        <v>86</v>
      </c>
      <c r="I42" s="90" t="s">
        <v>87</v>
      </c>
      <c r="J42" s="104" t="str">
        <f t="shared" ca="1" si="2"/>
        <v>6 mins</v>
      </c>
      <c r="N42" s="109"/>
      <c r="R42" s="109"/>
      <c r="AA42" s="109"/>
    </row>
    <row r="43" spans="1:27" ht="63.75">
      <c r="A43" s="86" t="s">
        <v>217</v>
      </c>
      <c r="B43" s="89" t="s">
        <v>190</v>
      </c>
      <c r="C43" s="89" t="s">
        <v>213</v>
      </c>
      <c r="D43" s="89" t="s">
        <v>218</v>
      </c>
      <c r="E43" s="89" t="s">
        <v>219</v>
      </c>
      <c r="F43" s="90" t="s">
        <v>220</v>
      </c>
      <c r="G43" s="90" t="s">
        <v>221</v>
      </c>
      <c r="H43" s="90" t="s">
        <v>86</v>
      </c>
      <c r="I43" s="90" t="s">
        <v>87</v>
      </c>
      <c r="J43" s="104" t="str">
        <f t="shared" ca="1" si="2"/>
        <v>7 mins</v>
      </c>
      <c r="N43" s="109"/>
      <c r="R43" s="109"/>
      <c r="AA43" s="109"/>
    </row>
    <row r="44" spans="1:27" ht="102">
      <c r="A44" s="86" t="s">
        <v>222</v>
      </c>
      <c r="B44" s="89" t="s">
        <v>190</v>
      </c>
      <c r="C44" s="89" t="s">
        <v>213</v>
      </c>
      <c r="D44" s="89" t="s">
        <v>223</v>
      </c>
      <c r="E44" s="89" t="s">
        <v>224</v>
      </c>
      <c r="F44" s="90" t="s">
        <v>225</v>
      </c>
      <c r="G44" s="90" t="s">
        <v>226</v>
      </c>
      <c r="H44" s="90" t="s">
        <v>86</v>
      </c>
      <c r="I44" s="90" t="s">
        <v>87</v>
      </c>
      <c r="J44" s="104" t="str">
        <f t="shared" ref="J44:J75" ca="1" si="3">IF(A44&lt;&gt;"", RANDBETWEEN(2, 15) &amp; " mins", "")</f>
        <v>5 mins</v>
      </c>
      <c r="N44" s="109"/>
      <c r="R44" s="109"/>
      <c r="AA44" s="109"/>
    </row>
    <row r="45" spans="1:27" ht="89.25">
      <c r="A45" s="86" t="s">
        <v>227</v>
      </c>
      <c r="B45" s="89" t="s">
        <v>190</v>
      </c>
      <c r="C45" s="89" t="s">
        <v>213</v>
      </c>
      <c r="D45" s="89" t="s">
        <v>228</v>
      </c>
      <c r="E45" s="89" t="s">
        <v>229</v>
      </c>
      <c r="F45" s="90" t="s">
        <v>230</v>
      </c>
      <c r="G45" s="90" t="s">
        <v>231</v>
      </c>
      <c r="H45" s="90" t="s">
        <v>86</v>
      </c>
      <c r="I45" s="90" t="s">
        <v>232</v>
      </c>
      <c r="J45" s="104" t="str">
        <f t="shared" ca="1" si="3"/>
        <v>2 mins</v>
      </c>
      <c r="N45" s="109"/>
      <c r="R45" s="109"/>
      <c r="AA45" s="109"/>
    </row>
    <row r="46" spans="1:27" ht="89.25">
      <c r="A46" s="86" t="s">
        <v>233</v>
      </c>
      <c r="B46" s="89" t="s">
        <v>190</v>
      </c>
      <c r="C46" s="89" t="s">
        <v>213</v>
      </c>
      <c r="D46" s="89" t="s">
        <v>234</v>
      </c>
      <c r="E46" s="89" t="s">
        <v>235</v>
      </c>
      <c r="F46" s="90" t="s">
        <v>236</v>
      </c>
      <c r="G46" s="90" t="s">
        <v>237</v>
      </c>
      <c r="H46" s="90" t="s">
        <v>86</v>
      </c>
      <c r="I46" s="90" t="s">
        <v>232</v>
      </c>
      <c r="J46" s="104" t="str">
        <f t="shared" ca="1" si="3"/>
        <v>11 mins</v>
      </c>
      <c r="N46" s="109"/>
      <c r="R46" s="109"/>
      <c r="AA46" s="109"/>
    </row>
    <row r="47" spans="1:27" ht="38.25">
      <c r="A47" s="86">
        <f>COUNTA($E48:$E52)</f>
        <v>5</v>
      </c>
      <c r="B47" s="87" t="s">
        <v>238</v>
      </c>
      <c r="C47" s="87"/>
      <c r="D47" s="87"/>
      <c r="E47" s="87"/>
      <c r="F47" s="88" t="str">
        <f>IFERROR(COUNTIF($K48:$K52,$K$2)/COUNTA($K48:$K52),"-")</f>
        <v>-</v>
      </c>
      <c r="G47" s="87"/>
      <c r="H47" s="87"/>
      <c r="I47" s="87"/>
      <c r="J47" s="103" t="str">
        <f t="shared" ca="1" si="3"/>
        <v>13 mins</v>
      </c>
      <c r="N47" s="109"/>
      <c r="R47" s="109"/>
      <c r="AA47" s="109"/>
    </row>
    <row r="48" spans="1:27" ht="114.75">
      <c r="A48" s="86" t="s">
        <v>239</v>
      </c>
      <c r="B48" s="89" t="s">
        <v>190</v>
      </c>
      <c r="C48" s="89" t="s">
        <v>240</v>
      </c>
      <c r="D48" s="89" t="s">
        <v>241</v>
      </c>
      <c r="E48" s="89" t="s">
        <v>242</v>
      </c>
      <c r="F48" s="90" t="s">
        <v>243</v>
      </c>
      <c r="G48" s="90" t="s">
        <v>244</v>
      </c>
      <c r="H48" s="90" t="s">
        <v>86</v>
      </c>
      <c r="I48" s="90" t="s">
        <v>87</v>
      </c>
      <c r="J48" s="104" t="str">
        <f t="shared" ca="1" si="3"/>
        <v>11 mins</v>
      </c>
      <c r="N48" s="109"/>
      <c r="R48" s="109"/>
      <c r="AA48" s="109"/>
    </row>
    <row r="49" spans="1:27" ht="76.5">
      <c r="A49" s="86" t="s">
        <v>245</v>
      </c>
      <c r="B49" s="89" t="s">
        <v>190</v>
      </c>
      <c r="C49" s="89" t="s">
        <v>240</v>
      </c>
      <c r="D49" s="89" t="s">
        <v>246</v>
      </c>
      <c r="E49" s="89" t="s">
        <v>247</v>
      </c>
      <c r="F49" s="90" t="s">
        <v>248</v>
      </c>
      <c r="G49" s="90" t="s">
        <v>249</v>
      </c>
      <c r="H49" s="90" t="s">
        <v>92</v>
      </c>
      <c r="I49" s="90" t="s">
        <v>87</v>
      </c>
      <c r="J49" s="104" t="str">
        <f t="shared" ca="1" si="3"/>
        <v>5 mins</v>
      </c>
      <c r="N49" s="109"/>
      <c r="R49" s="109"/>
      <c r="AA49" s="109"/>
    </row>
    <row r="50" spans="1:27" ht="63.75">
      <c r="A50" s="86" t="s">
        <v>250</v>
      </c>
      <c r="B50" s="89" t="s">
        <v>190</v>
      </c>
      <c r="C50" s="89" t="s">
        <v>240</v>
      </c>
      <c r="D50" s="89" t="s">
        <v>251</v>
      </c>
      <c r="E50" s="89" t="s">
        <v>252</v>
      </c>
      <c r="F50" s="90" t="s">
        <v>253</v>
      </c>
      <c r="G50" s="90" t="s">
        <v>254</v>
      </c>
      <c r="H50" s="90" t="s">
        <v>86</v>
      </c>
      <c r="I50" s="90" t="s">
        <v>87</v>
      </c>
      <c r="J50" s="104" t="str">
        <f t="shared" ca="1" si="3"/>
        <v>3 mins</v>
      </c>
      <c r="N50" s="109"/>
      <c r="R50" s="109"/>
      <c r="AA50" s="109"/>
    </row>
    <row r="51" spans="1:27" ht="76.5">
      <c r="A51" s="86" t="s">
        <v>255</v>
      </c>
      <c r="B51" s="89" t="s">
        <v>190</v>
      </c>
      <c r="C51" s="89" t="s">
        <v>240</v>
      </c>
      <c r="D51" s="89" t="s">
        <v>256</v>
      </c>
      <c r="E51" s="89" t="s">
        <v>257</v>
      </c>
      <c r="F51" s="90" t="s">
        <v>258</v>
      </c>
      <c r="G51" s="90" t="s">
        <v>259</v>
      </c>
      <c r="H51" s="90" t="s">
        <v>86</v>
      </c>
      <c r="I51" s="90" t="s">
        <v>87</v>
      </c>
      <c r="J51" s="104" t="str">
        <f t="shared" ca="1" si="3"/>
        <v>12 mins</v>
      </c>
      <c r="N51" s="109"/>
      <c r="R51" s="109"/>
      <c r="AA51" s="109"/>
    </row>
    <row r="52" spans="1:27" ht="63.75">
      <c r="A52" s="86" t="s">
        <v>260</v>
      </c>
      <c r="B52" s="89" t="s">
        <v>190</v>
      </c>
      <c r="C52" s="89" t="s">
        <v>240</v>
      </c>
      <c r="D52" s="89" t="s">
        <v>261</v>
      </c>
      <c r="E52" s="89" t="s">
        <v>262</v>
      </c>
      <c r="F52" s="90" t="s">
        <v>263</v>
      </c>
      <c r="G52" s="90" t="s">
        <v>264</v>
      </c>
      <c r="H52" s="90" t="s">
        <v>92</v>
      </c>
      <c r="I52" s="90" t="s">
        <v>87</v>
      </c>
      <c r="J52" s="104" t="str">
        <f t="shared" ca="1" si="3"/>
        <v>15 mins</v>
      </c>
      <c r="N52" s="109"/>
      <c r="R52" s="109"/>
      <c r="AA52" s="109"/>
    </row>
    <row r="53" spans="1:27" ht="38.25">
      <c r="A53" s="86">
        <f>COUNTA($E54:$E65)</f>
        <v>12</v>
      </c>
      <c r="B53" s="87" t="s">
        <v>265</v>
      </c>
      <c r="C53" s="87"/>
      <c r="D53" s="87"/>
      <c r="E53" s="87"/>
      <c r="F53" s="88" t="str">
        <f>IFERROR(COUNTIF($K54:$K65,$K$2)/COUNTA($K54:$K65),"-")</f>
        <v>-</v>
      </c>
      <c r="G53" s="87"/>
      <c r="H53" s="87"/>
      <c r="I53" s="87"/>
      <c r="J53" s="103" t="str">
        <f t="shared" ca="1" si="3"/>
        <v>7 mins</v>
      </c>
      <c r="N53" s="109"/>
      <c r="R53" s="109"/>
      <c r="AA53" s="109"/>
    </row>
    <row r="54" spans="1:27" ht="76.5">
      <c r="A54" s="86" t="s">
        <v>266</v>
      </c>
      <c r="B54" s="89" t="s">
        <v>267</v>
      </c>
      <c r="C54" s="89" t="s">
        <v>268</v>
      </c>
      <c r="D54" s="89" t="s">
        <v>269</v>
      </c>
      <c r="E54" s="89" t="s">
        <v>270</v>
      </c>
      <c r="F54" s="90" t="s">
        <v>271</v>
      </c>
      <c r="G54" s="90" t="s">
        <v>272</v>
      </c>
      <c r="H54" s="90" t="s">
        <v>86</v>
      </c>
      <c r="I54" s="90" t="s">
        <v>172</v>
      </c>
      <c r="J54" s="104" t="str">
        <f t="shared" ca="1" si="3"/>
        <v>5 mins</v>
      </c>
      <c r="N54" s="109"/>
      <c r="R54" s="109"/>
      <c r="AA54" s="109"/>
    </row>
    <row r="55" spans="1:27" ht="63.75">
      <c r="A55" s="86" t="s">
        <v>273</v>
      </c>
      <c r="B55" s="89" t="s">
        <v>267</v>
      </c>
      <c r="C55" s="89" t="s">
        <v>268</v>
      </c>
      <c r="D55" s="89" t="s">
        <v>274</v>
      </c>
      <c r="E55" s="89" t="s">
        <v>275</v>
      </c>
      <c r="F55" s="90" t="s">
        <v>276</v>
      </c>
      <c r="G55" s="90" t="s">
        <v>277</v>
      </c>
      <c r="H55" s="90" t="s">
        <v>86</v>
      </c>
      <c r="I55" s="90" t="s">
        <v>172</v>
      </c>
      <c r="J55" s="104" t="str">
        <f t="shared" ca="1" si="3"/>
        <v>8 mins</v>
      </c>
      <c r="N55" s="109"/>
      <c r="R55" s="109"/>
      <c r="AA55" s="109"/>
    </row>
    <row r="56" spans="1:27" ht="63.75">
      <c r="A56" s="86" t="s">
        <v>278</v>
      </c>
      <c r="B56" s="89" t="s">
        <v>267</v>
      </c>
      <c r="C56" s="89" t="s">
        <v>268</v>
      </c>
      <c r="D56" s="89" t="s">
        <v>279</v>
      </c>
      <c r="E56" s="89" t="s">
        <v>280</v>
      </c>
      <c r="F56" s="90" t="s">
        <v>281</v>
      </c>
      <c r="G56" s="90" t="s">
        <v>282</v>
      </c>
      <c r="H56" s="90" t="s">
        <v>92</v>
      </c>
      <c r="I56" s="90" t="s">
        <v>87</v>
      </c>
      <c r="J56" s="104" t="str">
        <f t="shared" ca="1" si="3"/>
        <v>11 mins</v>
      </c>
      <c r="N56" s="109"/>
      <c r="R56" s="109"/>
      <c r="AA56" s="109"/>
    </row>
    <row r="57" spans="1:27" ht="89.25">
      <c r="A57" s="86" t="s">
        <v>283</v>
      </c>
      <c r="B57" s="89" t="s">
        <v>267</v>
      </c>
      <c r="C57" s="89" t="s">
        <v>268</v>
      </c>
      <c r="D57" s="89" t="s">
        <v>284</v>
      </c>
      <c r="E57" s="89" t="s">
        <v>285</v>
      </c>
      <c r="F57" s="90" t="s">
        <v>286</v>
      </c>
      <c r="G57" s="90" t="s">
        <v>287</v>
      </c>
      <c r="H57" s="90" t="s">
        <v>86</v>
      </c>
      <c r="I57" s="90" t="s">
        <v>87</v>
      </c>
      <c r="J57" s="104" t="str">
        <f t="shared" ca="1" si="3"/>
        <v>7 mins</v>
      </c>
      <c r="N57" s="109"/>
      <c r="R57" s="109"/>
      <c r="AA57" s="109"/>
    </row>
    <row r="58" spans="1:27" ht="89.25">
      <c r="A58" s="86" t="s">
        <v>288</v>
      </c>
      <c r="B58" s="89" t="s">
        <v>267</v>
      </c>
      <c r="C58" s="89" t="s">
        <v>268</v>
      </c>
      <c r="D58" s="89" t="s">
        <v>289</v>
      </c>
      <c r="E58" s="89" t="s">
        <v>290</v>
      </c>
      <c r="F58" s="90" t="s">
        <v>291</v>
      </c>
      <c r="G58" s="90" t="s">
        <v>292</v>
      </c>
      <c r="H58" s="90" t="s">
        <v>92</v>
      </c>
      <c r="I58" s="90" t="s">
        <v>87</v>
      </c>
      <c r="J58" s="104" t="str">
        <f t="shared" ca="1" si="3"/>
        <v>12 mins</v>
      </c>
      <c r="N58" s="109"/>
      <c r="R58" s="109"/>
      <c r="AA58" s="109"/>
    </row>
    <row r="59" spans="1:27" ht="76.5">
      <c r="A59" s="86" t="s">
        <v>293</v>
      </c>
      <c r="B59" s="89" t="s">
        <v>267</v>
      </c>
      <c r="C59" s="89" t="s">
        <v>268</v>
      </c>
      <c r="D59" s="89" t="s">
        <v>294</v>
      </c>
      <c r="E59" s="89" t="s">
        <v>295</v>
      </c>
      <c r="F59" s="90" t="s">
        <v>296</v>
      </c>
      <c r="G59" s="90" t="s">
        <v>297</v>
      </c>
      <c r="H59" s="90" t="s">
        <v>86</v>
      </c>
      <c r="I59" s="90" t="s">
        <v>172</v>
      </c>
      <c r="J59" s="104" t="str">
        <f t="shared" ca="1" si="3"/>
        <v>15 mins</v>
      </c>
      <c r="N59" s="109"/>
      <c r="R59" s="109"/>
      <c r="AA59" s="109"/>
    </row>
    <row r="60" spans="1:27" ht="76.5">
      <c r="A60" s="86" t="s">
        <v>298</v>
      </c>
      <c r="B60" s="89" t="s">
        <v>267</v>
      </c>
      <c r="C60" s="89" t="s">
        <v>268</v>
      </c>
      <c r="D60" s="89" t="s">
        <v>299</v>
      </c>
      <c r="E60" s="89" t="s">
        <v>300</v>
      </c>
      <c r="F60" s="90" t="s">
        <v>301</v>
      </c>
      <c r="G60" s="90" t="s">
        <v>302</v>
      </c>
      <c r="H60" s="90" t="s">
        <v>86</v>
      </c>
      <c r="I60" s="90" t="s">
        <v>172</v>
      </c>
      <c r="J60" s="104" t="str">
        <f t="shared" ca="1" si="3"/>
        <v>13 mins</v>
      </c>
      <c r="N60" s="109"/>
      <c r="R60" s="109"/>
      <c r="AA60" s="109"/>
    </row>
    <row r="61" spans="1:27" ht="76.5">
      <c r="A61" s="86" t="s">
        <v>303</v>
      </c>
      <c r="B61" s="89" t="s">
        <v>267</v>
      </c>
      <c r="C61" s="89" t="s">
        <v>268</v>
      </c>
      <c r="D61" s="89" t="s">
        <v>304</v>
      </c>
      <c r="E61" s="89" t="s">
        <v>305</v>
      </c>
      <c r="F61" s="90" t="s">
        <v>306</v>
      </c>
      <c r="G61" s="90" t="s">
        <v>307</v>
      </c>
      <c r="H61" s="90" t="s">
        <v>86</v>
      </c>
      <c r="I61" s="90" t="s">
        <v>87</v>
      </c>
      <c r="J61" s="104" t="str">
        <f t="shared" ca="1" si="3"/>
        <v>13 mins</v>
      </c>
      <c r="N61" s="109"/>
      <c r="R61" s="109"/>
      <c r="AA61" s="109"/>
    </row>
    <row r="62" spans="1:27" ht="63.75">
      <c r="A62" s="86" t="s">
        <v>308</v>
      </c>
      <c r="B62" s="89" t="s">
        <v>267</v>
      </c>
      <c r="C62" s="89" t="s">
        <v>268</v>
      </c>
      <c r="D62" s="89" t="s">
        <v>309</v>
      </c>
      <c r="E62" s="89" t="s">
        <v>310</v>
      </c>
      <c r="F62" s="90" t="s">
        <v>311</v>
      </c>
      <c r="G62" s="90" t="s">
        <v>312</v>
      </c>
      <c r="H62" s="90" t="s">
        <v>92</v>
      </c>
      <c r="I62" s="90" t="s">
        <v>87</v>
      </c>
      <c r="J62" s="104" t="str">
        <f t="shared" ca="1" si="3"/>
        <v>13 mins</v>
      </c>
      <c r="N62" s="109"/>
      <c r="R62" s="109"/>
      <c r="AA62" s="109"/>
    </row>
    <row r="63" spans="1:27" ht="102">
      <c r="A63" s="86" t="s">
        <v>313</v>
      </c>
      <c r="B63" s="89" t="s">
        <v>267</v>
      </c>
      <c r="C63" s="89" t="s">
        <v>268</v>
      </c>
      <c r="D63" s="89" t="s">
        <v>314</v>
      </c>
      <c r="E63" s="89" t="s">
        <v>315</v>
      </c>
      <c r="F63" s="90" t="s">
        <v>316</v>
      </c>
      <c r="G63" s="90" t="s">
        <v>317</v>
      </c>
      <c r="H63" s="90" t="s">
        <v>92</v>
      </c>
      <c r="I63" s="90" t="s">
        <v>87</v>
      </c>
      <c r="J63" s="104" t="str">
        <f t="shared" ca="1" si="3"/>
        <v>8 mins</v>
      </c>
      <c r="N63" s="109"/>
      <c r="R63" s="109"/>
      <c r="AA63" s="109"/>
    </row>
    <row r="64" spans="1:27" ht="76.5">
      <c r="A64" s="86" t="s">
        <v>318</v>
      </c>
      <c r="B64" s="89" t="s">
        <v>267</v>
      </c>
      <c r="C64" s="89" t="s">
        <v>268</v>
      </c>
      <c r="D64" s="89" t="s">
        <v>319</v>
      </c>
      <c r="E64" s="89" t="s">
        <v>320</v>
      </c>
      <c r="F64" s="90" t="s">
        <v>321</v>
      </c>
      <c r="G64" s="90" t="s">
        <v>322</v>
      </c>
      <c r="H64" s="90" t="s">
        <v>92</v>
      </c>
      <c r="I64" s="90" t="s">
        <v>87</v>
      </c>
      <c r="J64" s="104" t="str">
        <f t="shared" ca="1" si="3"/>
        <v>7 mins</v>
      </c>
      <c r="N64" s="109"/>
      <c r="R64" s="109"/>
      <c r="AA64" s="109"/>
    </row>
    <row r="65" spans="1:27" ht="76.5">
      <c r="A65" s="86" t="s">
        <v>323</v>
      </c>
      <c r="B65" s="89" t="s">
        <v>267</v>
      </c>
      <c r="C65" s="89" t="s">
        <v>268</v>
      </c>
      <c r="D65" s="89" t="s">
        <v>324</v>
      </c>
      <c r="E65" s="89" t="s">
        <v>325</v>
      </c>
      <c r="F65" s="90" t="s">
        <v>326</v>
      </c>
      <c r="G65" s="90" t="s">
        <v>327</v>
      </c>
      <c r="H65" s="90" t="s">
        <v>92</v>
      </c>
      <c r="I65" s="90" t="s">
        <v>87</v>
      </c>
      <c r="J65" s="104" t="str">
        <f t="shared" ca="1" si="3"/>
        <v>7 mins</v>
      </c>
      <c r="N65" s="109"/>
      <c r="R65" s="109"/>
      <c r="AA65" s="109"/>
    </row>
    <row r="66" spans="1:27" ht="38.25">
      <c r="A66" s="86">
        <f>COUNTA($E67:$E73)</f>
        <v>7</v>
      </c>
      <c r="B66" s="87" t="s">
        <v>328</v>
      </c>
      <c r="C66" s="87"/>
      <c r="D66" s="87"/>
      <c r="E66" s="87"/>
      <c r="F66" s="88" t="str">
        <f>IFERROR(COUNTIF($K67:$K73,$K$2)/COUNTA($K67:$K73),"-")</f>
        <v>-</v>
      </c>
      <c r="G66" s="87"/>
      <c r="H66" s="87"/>
      <c r="I66" s="87"/>
      <c r="J66" s="103" t="str">
        <f t="shared" ca="1" si="3"/>
        <v>3 mins</v>
      </c>
      <c r="N66" s="109"/>
      <c r="R66" s="109"/>
      <c r="AA66" s="109"/>
    </row>
    <row r="67" spans="1:27" ht="51">
      <c r="A67" s="86" t="s">
        <v>329</v>
      </c>
      <c r="B67" s="89" t="s">
        <v>267</v>
      </c>
      <c r="C67" s="89" t="s">
        <v>330</v>
      </c>
      <c r="D67" s="89" t="s">
        <v>331</v>
      </c>
      <c r="E67" s="89" t="s">
        <v>332</v>
      </c>
      <c r="F67" s="90" t="s">
        <v>333</v>
      </c>
      <c r="G67" s="90" t="s">
        <v>334</v>
      </c>
      <c r="H67" s="90" t="s">
        <v>86</v>
      </c>
      <c r="I67" s="90" t="s">
        <v>335</v>
      </c>
      <c r="J67" s="104" t="str">
        <f t="shared" ca="1" si="3"/>
        <v>6 mins</v>
      </c>
      <c r="N67" s="109"/>
      <c r="R67" s="109"/>
      <c r="AA67" s="109"/>
    </row>
    <row r="68" spans="1:27" ht="63.75">
      <c r="A68" s="86" t="s">
        <v>336</v>
      </c>
      <c r="B68" s="89" t="s">
        <v>267</v>
      </c>
      <c r="C68" s="89" t="s">
        <v>330</v>
      </c>
      <c r="D68" s="89" t="s">
        <v>337</v>
      </c>
      <c r="E68" s="89" t="s">
        <v>338</v>
      </c>
      <c r="F68" s="90" t="s">
        <v>339</v>
      </c>
      <c r="G68" s="90" t="s">
        <v>340</v>
      </c>
      <c r="H68" s="90" t="s">
        <v>86</v>
      </c>
      <c r="I68" s="90" t="s">
        <v>335</v>
      </c>
      <c r="J68" s="104" t="str">
        <f t="shared" ca="1" si="3"/>
        <v>12 mins</v>
      </c>
      <c r="N68" s="109"/>
      <c r="R68" s="109"/>
      <c r="AA68" s="109"/>
    </row>
    <row r="69" spans="1:27" ht="76.5">
      <c r="A69" s="86" t="s">
        <v>341</v>
      </c>
      <c r="B69" s="89" t="s">
        <v>267</v>
      </c>
      <c r="C69" s="89" t="s">
        <v>330</v>
      </c>
      <c r="D69" s="89" t="s">
        <v>342</v>
      </c>
      <c r="E69" s="89" t="s">
        <v>343</v>
      </c>
      <c r="F69" s="90" t="s">
        <v>344</v>
      </c>
      <c r="G69" s="90" t="s">
        <v>345</v>
      </c>
      <c r="H69" s="90" t="s">
        <v>86</v>
      </c>
      <c r="I69" s="90" t="s">
        <v>335</v>
      </c>
      <c r="J69" s="104" t="str">
        <f t="shared" ca="1" si="3"/>
        <v>9 mins</v>
      </c>
      <c r="N69" s="109"/>
      <c r="R69" s="109"/>
      <c r="AA69" s="109"/>
    </row>
    <row r="70" spans="1:27" ht="102">
      <c r="A70" s="86" t="s">
        <v>346</v>
      </c>
      <c r="B70" s="89" t="s">
        <v>267</v>
      </c>
      <c r="C70" s="89" t="s">
        <v>330</v>
      </c>
      <c r="D70" s="89" t="s">
        <v>347</v>
      </c>
      <c r="E70" s="89" t="s">
        <v>348</v>
      </c>
      <c r="F70" s="90" t="s">
        <v>349</v>
      </c>
      <c r="G70" s="90" t="s">
        <v>350</v>
      </c>
      <c r="H70" s="90" t="s">
        <v>86</v>
      </c>
      <c r="I70" s="90" t="s">
        <v>335</v>
      </c>
      <c r="J70" s="104" t="str">
        <f t="shared" ca="1" si="3"/>
        <v>8 mins</v>
      </c>
      <c r="N70" s="109"/>
      <c r="R70" s="109"/>
      <c r="AA70" s="109"/>
    </row>
    <row r="71" spans="1:27" ht="63.75">
      <c r="A71" s="86" t="s">
        <v>351</v>
      </c>
      <c r="B71" s="89" t="s">
        <v>267</v>
      </c>
      <c r="C71" s="89" t="s">
        <v>330</v>
      </c>
      <c r="D71" s="89" t="s">
        <v>352</v>
      </c>
      <c r="E71" s="89" t="s">
        <v>353</v>
      </c>
      <c r="F71" s="90" t="s">
        <v>354</v>
      </c>
      <c r="G71" s="90" t="s">
        <v>355</v>
      </c>
      <c r="H71" s="90" t="s">
        <v>86</v>
      </c>
      <c r="I71" s="90" t="s">
        <v>335</v>
      </c>
      <c r="J71" s="104" t="str">
        <f t="shared" ca="1" si="3"/>
        <v>15 mins</v>
      </c>
      <c r="N71" s="109"/>
      <c r="R71" s="109"/>
      <c r="AA71" s="109"/>
    </row>
    <row r="72" spans="1:27" ht="102">
      <c r="A72" s="86" t="s">
        <v>356</v>
      </c>
      <c r="B72" s="89" t="s">
        <v>267</v>
      </c>
      <c r="C72" s="89" t="s">
        <v>330</v>
      </c>
      <c r="D72" s="89" t="s">
        <v>357</v>
      </c>
      <c r="E72" s="89" t="s">
        <v>358</v>
      </c>
      <c r="F72" s="90" t="s">
        <v>359</v>
      </c>
      <c r="G72" s="90" t="s">
        <v>360</v>
      </c>
      <c r="H72" s="90" t="s">
        <v>92</v>
      </c>
      <c r="I72" s="90" t="s">
        <v>335</v>
      </c>
      <c r="J72" s="104" t="str">
        <f t="shared" ca="1" si="3"/>
        <v>9 mins</v>
      </c>
      <c r="N72" s="109"/>
      <c r="R72" s="109"/>
      <c r="AA72" s="109"/>
    </row>
    <row r="73" spans="1:27" ht="89.25">
      <c r="A73" s="86" t="s">
        <v>361</v>
      </c>
      <c r="B73" s="89" t="s">
        <v>267</v>
      </c>
      <c r="C73" s="89" t="s">
        <v>330</v>
      </c>
      <c r="D73" s="89" t="s">
        <v>362</v>
      </c>
      <c r="E73" s="89" t="s">
        <v>363</v>
      </c>
      <c r="F73" s="90" t="s">
        <v>364</v>
      </c>
      <c r="G73" s="90" t="s">
        <v>365</v>
      </c>
      <c r="H73" s="90" t="s">
        <v>86</v>
      </c>
      <c r="I73" s="90" t="s">
        <v>335</v>
      </c>
      <c r="J73" s="104" t="str">
        <f t="shared" ca="1" si="3"/>
        <v>8 mins</v>
      </c>
      <c r="N73" s="109"/>
      <c r="R73" s="109"/>
      <c r="AA73" s="109"/>
    </row>
    <row r="74" spans="1:27" ht="12.75">
      <c r="A74" s="86">
        <f>COUNTA($E75:$E79)</f>
        <v>5</v>
      </c>
      <c r="B74" s="87" t="s">
        <v>366</v>
      </c>
      <c r="C74" s="87"/>
      <c r="D74" s="87"/>
      <c r="E74" s="87"/>
      <c r="F74" s="88" t="str">
        <f>IFERROR(COUNTIF($K75:$K79,$K$2)/COUNTA($K75:$K79),"-")</f>
        <v>-</v>
      </c>
      <c r="G74" s="87"/>
      <c r="H74" s="87"/>
      <c r="I74" s="87"/>
      <c r="J74" s="103" t="str">
        <f t="shared" ca="1" si="3"/>
        <v>8 mins</v>
      </c>
      <c r="N74" s="109"/>
      <c r="R74" s="109"/>
      <c r="AA74" s="109"/>
    </row>
    <row r="75" spans="1:27" ht="76.5">
      <c r="A75" s="86" t="s">
        <v>367</v>
      </c>
      <c r="B75" s="89" t="s">
        <v>366</v>
      </c>
      <c r="C75" s="89" t="s">
        <v>13</v>
      </c>
      <c r="D75" s="89" t="s">
        <v>368</v>
      </c>
      <c r="E75" s="89" t="s">
        <v>369</v>
      </c>
      <c r="F75" s="90" t="s">
        <v>370</v>
      </c>
      <c r="G75" s="90" t="s">
        <v>371</v>
      </c>
      <c r="H75" s="90" t="s">
        <v>86</v>
      </c>
      <c r="I75" s="90" t="s">
        <v>335</v>
      </c>
      <c r="J75" s="104" t="str">
        <f t="shared" ca="1" si="3"/>
        <v>7 mins</v>
      </c>
      <c r="N75" s="109"/>
      <c r="R75" s="109"/>
      <c r="AA75" s="109"/>
    </row>
    <row r="76" spans="1:27" ht="51">
      <c r="A76" s="86" t="s">
        <v>372</v>
      </c>
      <c r="B76" s="89" t="s">
        <v>366</v>
      </c>
      <c r="C76" s="89" t="s">
        <v>13</v>
      </c>
      <c r="D76" s="89" t="s">
        <v>373</v>
      </c>
      <c r="E76" s="89" t="s">
        <v>374</v>
      </c>
      <c r="F76" s="90" t="s">
        <v>375</v>
      </c>
      <c r="G76" s="90" t="s">
        <v>376</v>
      </c>
      <c r="H76" s="90" t="s">
        <v>86</v>
      </c>
      <c r="I76" s="90" t="s">
        <v>232</v>
      </c>
      <c r="J76" s="104" t="str">
        <f t="shared" ref="J76:J92" ca="1" si="4">IF(A76&lt;&gt;"", RANDBETWEEN(2, 15) &amp; " mins", "")</f>
        <v>2 mins</v>
      </c>
      <c r="N76" s="109"/>
      <c r="R76" s="109"/>
      <c r="AA76" s="109"/>
    </row>
    <row r="77" spans="1:27" ht="63.75">
      <c r="A77" s="86" t="s">
        <v>377</v>
      </c>
      <c r="B77" s="89" t="s">
        <v>366</v>
      </c>
      <c r="C77" s="89" t="s">
        <v>13</v>
      </c>
      <c r="D77" s="89" t="s">
        <v>378</v>
      </c>
      <c r="E77" s="89" t="s">
        <v>379</v>
      </c>
      <c r="F77" s="90" t="s">
        <v>380</v>
      </c>
      <c r="G77" s="90" t="s">
        <v>381</v>
      </c>
      <c r="H77" s="90" t="s">
        <v>86</v>
      </c>
      <c r="I77" s="90" t="s">
        <v>382</v>
      </c>
      <c r="J77" s="104" t="str">
        <f t="shared" ca="1" si="4"/>
        <v>7 mins</v>
      </c>
      <c r="N77" s="109"/>
      <c r="R77" s="109"/>
      <c r="AA77" s="109"/>
    </row>
    <row r="78" spans="1:27" ht="76.5">
      <c r="A78" s="86" t="s">
        <v>383</v>
      </c>
      <c r="B78" s="89" t="s">
        <v>366</v>
      </c>
      <c r="C78" s="89" t="s">
        <v>13</v>
      </c>
      <c r="D78" s="89" t="s">
        <v>384</v>
      </c>
      <c r="E78" s="89" t="s">
        <v>385</v>
      </c>
      <c r="F78" s="90" t="s">
        <v>386</v>
      </c>
      <c r="G78" s="90" t="s">
        <v>387</v>
      </c>
      <c r="H78" s="90" t="s">
        <v>92</v>
      </c>
      <c r="I78" s="90" t="s">
        <v>335</v>
      </c>
      <c r="J78" s="104" t="str">
        <f t="shared" ca="1" si="4"/>
        <v>12 mins</v>
      </c>
      <c r="N78" s="109"/>
      <c r="R78" s="109"/>
      <c r="AA78" s="109"/>
    </row>
    <row r="79" spans="1:27" ht="63.75">
      <c r="A79" s="86" t="s">
        <v>388</v>
      </c>
      <c r="B79" s="89" t="s">
        <v>366</v>
      </c>
      <c r="C79" s="89" t="s">
        <v>13</v>
      </c>
      <c r="D79" s="89" t="s">
        <v>389</v>
      </c>
      <c r="E79" s="89" t="s">
        <v>390</v>
      </c>
      <c r="F79" s="90" t="s">
        <v>391</v>
      </c>
      <c r="G79" s="90" t="s">
        <v>392</v>
      </c>
      <c r="H79" s="90" t="s">
        <v>92</v>
      </c>
      <c r="I79" s="90" t="s">
        <v>335</v>
      </c>
      <c r="J79" s="104" t="str">
        <f t="shared" ca="1" si="4"/>
        <v>5 mins</v>
      </c>
      <c r="N79" s="109"/>
      <c r="R79" s="109"/>
      <c r="AA79" s="109"/>
    </row>
    <row r="80" spans="1:27" ht="12.75">
      <c r="A80" s="86">
        <f>COUNTA($E81:$E84)</f>
        <v>4</v>
      </c>
      <c r="B80" s="87" t="s">
        <v>304</v>
      </c>
      <c r="C80" s="87"/>
      <c r="D80" s="87"/>
      <c r="E80" s="87"/>
      <c r="F80" s="88" t="str">
        <f>IFERROR(COUNTIF($K81:$K84,$K$2)/COUNTA($K81:$K84),"-")</f>
        <v>-</v>
      </c>
      <c r="G80" s="87"/>
      <c r="H80" s="87"/>
      <c r="I80" s="87"/>
      <c r="J80" s="103" t="str">
        <f t="shared" ca="1" si="4"/>
        <v>3 mins</v>
      </c>
      <c r="N80" s="109"/>
      <c r="R80" s="109"/>
      <c r="AA80" s="109"/>
    </row>
    <row r="81" spans="1:27" ht="63.75">
      <c r="A81" s="86" t="s">
        <v>393</v>
      </c>
      <c r="B81" s="89" t="s">
        <v>304</v>
      </c>
      <c r="C81" s="89" t="s">
        <v>13</v>
      </c>
      <c r="D81" s="89" t="s">
        <v>394</v>
      </c>
      <c r="E81" s="89" t="s">
        <v>395</v>
      </c>
      <c r="F81" s="90" t="s">
        <v>396</v>
      </c>
      <c r="G81" s="90" t="s">
        <v>397</v>
      </c>
      <c r="H81" s="90" t="s">
        <v>86</v>
      </c>
      <c r="I81" s="90" t="s">
        <v>87</v>
      </c>
      <c r="J81" s="104" t="str">
        <f t="shared" ca="1" si="4"/>
        <v>5 mins</v>
      </c>
      <c r="N81" s="109"/>
      <c r="R81" s="109"/>
      <c r="AA81" s="109"/>
    </row>
    <row r="82" spans="1:27" ht="76.5">
      <c r="A82" s="86" t="s">
        <v>398</v>
      </c>
      <c r="B82" s="89" t="s">
        <v>304</v>
      </c>
      <c r="C82" s="89" t="s">
        <v>13</v>
      </c>
      <c r="D82" s="89" t="s">
        <v>399</v>
      </c>
      <c r="E82" s="89" t="s">
        <v>400</v>
      </c>
      <c r="F82" s="90" t="s">
        <v>401</v>
      </c>
      <c r="G82" s="90" t="s">
        <v>402</v>
      </c>
      <c r="H82" s="90" t="s">
        <v>92</v>
      </c>
      <c r="I82" s="90" t="s">
        <v>87</v>
      </c>
      <c r="J82" s="104" t="str">
        <f t="shared" ca="1" si="4"/>
        <v>10 mins</v>
      </c>
      <c r="N82" s="109"/>
      <c r="R82" s="109"/>
      <c r="AA82" s="109"/>
    </row>
    <row r="83" spans="1:27" ht="51">
      <c r="A83" s="86" t="s">
        <v>403</v>
      </c>
      <c r="B83" s="89" t="s">
        <v>304</v>
      </c>
      <c r="C83" s="89" t="s">
        <v>13</v>
      </c>
      <c r="D83" s="89" t="s">
        <v>404</v>
      </c>
      <c r="E83" s="89" t="s">
        <v>405</v>
      </c>
      <c r="F83" s="90" t="s">
        <v>406</v>
      </c>
      <c r="G83" s="90" t="s">
        <v>407</v>
      </c>
      <c r="H83" s="90" t="s">
        <v>86</v>
      </c>
      <c r="I83" s="90" t="s">
        <v>408</v>
      </c>
      <c r="J83" s="104" t="str">
        <f t="shared" ca="1" si="4"/>
        <v>12 mins</v>
      </c>
      <c r="N83" s="109"/>
      <c r="R83" s="109"/>
      <c r="AA83" s="109"/>
    </row>
    <row r="84" spans="1:27" ht="63.75">
      <c r="A84" s="86" t="s">
        <v>409</v>
      </c>
      <c r="B84" s="89" t="s">
        <v>304</v>
      </c>
      <c r="C84" s="89" t="s">
        <v>13</v>
      </c>
      <c r="D84" s="89" t="s">
        <v>410</v>
      </c>
      <c r="E84" s="89" t="s">
        <v>411</v>
      </c>
      <c r="F84" s="90" t="s">
        <v>412</v>
      </c>
      <c r="G84" s="90" t="s">
        <v>413</v>
      </c>
      <c r="H84" s="90" t="s">
        <v>86</v>
      </c>
      <c r="I84" s="90" t="s">
        <v>87</v>
      </c>
      <c r="J84" s="104" t="str">
        <f t="shared" ca="1" si="4"/>
        <v>12 mins</v>
      </c>
      <c r="N84" s="109"/>
      <c r="R84" s="109"/>
      <c r="AA84" s="109"/>
    </row>
    <row r="85" spans="1:27" ht="38.25">
      <c r="A85" s="86">
        <f>COUNTA($E86:$E87)</f>
        <v>2</v>
      </c>
      <c r="B85" s="87" t="s">
        <v>414</v>
      </c>
      <c r="C85" s="87"/>
      <c r="D85" s="87"/>
      <c r="E85" s="87"/>
      <c r="F85" s="88" t="str">
        <f>IFERROR(COUNTIF($K86:$K87,$K$2)/COUNTA($K86:$K87),"-")</f>
        <v>-</v>
      </c>
      <c r="G85" s="87"/>
      <c r="H85" s="87"/>
      <c r="I85" s="87"/>
      <c r="J85" s="103" t="str">
        <f t="shared" ca="1" si="4"/>
        <v>4 mins</v>
      </c>
      <c r="N85" s="109"/>
      <c r="R85" s="109"/>
      <c r="AA85" s="109"/>
    </row>
    <row r="86" spans="1:27" ht="76.5">
      <c r="A86" s="86" t="s">
        <v>415</v>
      </c>
      <c r="B86" s="89" t="s">
        <v>414</v>
      </c>
      <c r="C86" s="89" t="s">
        <v>13</v>
      </c>
      <c r="D86" s="89" t="s">
        <v>416</v>
      </c>
      <c r="E86" s="89" t="s">
        <v>417</v>
      </c>
      <c r="F86" s="90" t="s">
        <v>418</v>
      </c>
      <c r="G86" s="90" t="s">
        <v>419</v>
      </c>
      <c r="H86" s="90" t="s">
        <v>86</v>
      </c>
      <c r="I86" s="90" t="s">
        <v>87</v>
      </c>
      <c r="J86" s="104" t="str">
        <f t="shared" ca="1" si="4"/>
        <v>6 mins</v>
      </c>
      <c r="N86" s="109"/>
      <c r="R86" s="109"/>
      <c r="AA86" s="109"/>
    </row>
    <row r="87" spans="1:27" ht="63.75">
      <c r="A87" s="86" t="s">
        <v>420</v>
      </c>
      <c r="B87" s="89" t="s">
        <v>414</v>
      </c>
      <c r="C87" s="89" t="s">
        <v>13</v>
      </c>
      <c r="D87" s="89" t="s">
        <v>421</v>
      </c>
      <c r="E87" s="89" t="s">
        <v>422</v>
      </c>
      <c r="F87" s="90" t="s">
        <v>423</v>
      </c>
      <c r="G87" s="90" t="s">
        <v>424</v>
      </c>
      <c r="H87" s="90" t="s">
        <v>86</v>
      </c>
      <c r="I87" s="90" t="s">
        <v>87</v>
      </c>
      <c r="J87" s="104" t="str">
        <f t="shared" ca="1" si="4"/>
        <v>12 mins</v>
      </c>
      <c r="N87" s="109"/>
      <c r="R87" s="109"/>
      <c r="AA87" s="109"/>
    </row>
    <row r="88" spans="1:27" ht="25.5">
      <c r="A88" s="86">
        <f>COUNTA($E89:$E92)</f>
        <v>4</v>
      </c>
      <c r="B88" s="87" t="s">
        <v>425</v>
      </c>
      <c r="C88" s="87"/>
      <c r="D88" s="87"/>
      <c r="E88" s="87"/>
      <c r="F88" s="88" t="str">
        <f>IFERROR(COUNTIF($K89:$K92,$K$2)/COUNTA($K89:$K92),"-")</f>
        <v>-</v>
      </c>
      <c r="G88" s="87"/>
      <c r="H88" s="87"/>
      <c r="I88" s="87"/>
      <c r="J88" s="103" t="str">
        <f t="shared" ca="1" si="4"/>
        <v>10 mins</v>
      </c>
      <c r="N88" s="109"/>
      <c r="R88" s="109"/>
      <c r="AA88" s="109"/>
    </row>
    <row r="89" spans="1:27" ht="51">
      <c r="A89" s="86" t="s">
        <v>426</v>
      </c>
      <c r="B89" s="89" t="s">
        <v>425</v>
      </c>
      <c r="C89" s="89" t="s">
        <v>13</v>
      </c>
      <c r="D89" s="89" t="s">
        <v>427</v>
      </c>
      <c r="E89" s="89" t="s">
        <v>428</v>
      </c>
      <c r="F89" s="90" t="s">
        <v>429</v>
      </c>
      <c r="G89" s="90" t="s">
        <v>430</v>
      </c>
      <c r="H89" s="90" t="s">
        <v>86</v>
      </c>
      <c r="I89" s="90" t="s">
        <v>87</v>
      </c>
      <c r="J89" s="104" t="str">
        <f t="shared" ca="1" si="4"/>
        <v>6 mins</v>
      </c>
      <c r="N89" s="109"/>
      <c r="R89" s="109"/>
      <c r="AA89" s="109"/>
    </row>
    <row r="90" spans="1:27" ht="63.75">
      <c r="A90" s="86" t="s">
        <v>431</v>
      </c>
      <c r="B90" s="89" t="s">
        <v>425</v>
      </c>
      <c r="C90" s="89" t="s">
        <v>13</v>
      </c>
      <c r="D90" s="89" t="s">
        <v>432</v>
      </c>
      <c r="E90" s="89" t="s">
        <v>433</v>
      </c>
      <c r="F90" s="90" t="s">
        <v>434</v>
      </c>
      <c r="G90" s="90" t="s">
        <v>435</v>
      </c>
      <c r="H90" s="90" t="s">
        <v>86</v>
      </c>
      <c r="I90" s="90" t="s">
        <v>87</v>
      </c>
      <c r="J90" s="104" t="str">
        <f t="shared" ca="1" si="4"/>
        <v>14 mins</v>
      </c>
      <c r="N90" s="109"/>
      <c r="R90" s="109"/>
      <c r="AA90" s="109"/>
    </row>
    <row r="91" spans="1:27" ht="63.75">
      <c r="A91" s="86" t="s">
        <v>436</v>
      </c>
      <c r="B91" s="89" t="s">
        <v>425</v>
      </c>
      <c r="C91" s="89" t="s">
        <v>13</v>
      </c>
      <c r="D91" s="89" t="s">
        <v>437</v>
      </c>
      <c r="E91" s="89" t="s">
        <v>438</v>
      </c>
      <c r="F91" s="90" t="s">
        <v>439</v>
      </c>
      <c r="G91" s="90" t="s">
        <v>440</v>
      </c>
      <c r="H91" s="90" t="s">
        <v>92</v>
      </c>
      <c r="I91" s="90" t="s">
        <v>441</v>
      </c>
      <c r="J91" s="104" t="str">
        <f t="shared" ca="1" si="4"/>
        <v>4 mins</v>
      </c>
      <c r="N91" s="109"/>
      <c r="R91" s="109"/>
      <c r="AA91" s="109"/>
    </row>
    <row r="92" spans="1:27" ht="89.25">
      <c r="A92" s="86" t="s">
        <v>442</v>
      </c>
      <c r="B92" s="89" t="s">
        <v>425</v>
      </c>
      <c r="C92" s="89" t="s">
        <v>13</v>
      </c>
      <c r="D92" s="89" t="s">
        <v>443</v>
      </c>
      <c r="E92" s="89" t="s">
        <v>444</v>
      </c>
      <c r="F92" s="90" t="s">
        <v>445</v>
      </c>
      <c r="G92" s="90" t="s">
        <v>446</v>
      </c>
      <c r="H92" s="90" t="s">
        <v>86</v>
      </c>
      <c r="I92" s="90" t="s">
        <v>87</v>
      </c>
      <c r="J92" s="104" t="str">
        <f t="shared" ca="1" si="4"/>
        <v>9 mins</v>
      </c>
      <c r="N92" s="109"/>
      <c r="R92" s="109"/>
      <c r="AA92" s="109"/>
    </row>
  </sheetData>
  <mergeCells count="4">
    <mergeCell ref="K10:N10"/>
    <mergeCell ref="S10:AA10"/>
    <mergeCell ref="O10:R10"/>
    <mergeCell ref="A2:E2"/>
  </mergeCells>
  <hyperlinks>
    <hyperlink ref="K1" r:id="rId1" xr:uid="{00000000-0004-0000-0000-000000000000}"/>
    <hyperlink ref="O1" r:id="rId2" xr:uid="{00000000-0004-0000-0000-000001000000}"/>
    <hyperlink ref="S1" r:id="rId3" xr:uid="{00000000-0004-0000-0000-000002000000}"/>
    <hyperlink ref="K10" location="null!B5:Q5" display="Testing Update" xr:uid="{00000000-0004-0000-0000-000003000000}"/>
    <hyperlink ref="O10" location="null!B25:O25" display="Issue Update" xr:uid="{00000000-0004-0000-0000-000004000000}"/>
    <hyperlink ref="S10" location="null!B36:S36" display="Developer Update" xr:uid="{00000000-0004-0000-0000-000005000000}"/>
  </hyperlinks>
  <pageMargins left="0.7" right="0.7" top="0.75" bottom="0.75" header="0.511811023622047" footer="0.511811023622047"/>
  <pageSetup paperSize="9" orientation="portrait" horizontalDpi="300" verticalDpi="300"/>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raditya aryabudhi ramadhan</dc:creator>
  <cp:lastModifiedBy>raditya aryabudhi ramadhan</cp:lastModifiedBy>
  <cp:revision>1</cp:revision>
  <dcterms:created xsi:type="dcterms:W3CDTF">2026-08-05T04:32:17Z</dcterms:created>
  <dcterms:modified xsi:type="dcterms:W3CDTF">2026-08-05T04:47:22Z</dcterms:modified>
  <dc:language>en-US</dc:language>
</cp:coreProperties>
</file>