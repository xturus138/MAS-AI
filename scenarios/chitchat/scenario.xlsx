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dit\Project\VisualStudioProject\Skripsi\MAS AI\"/>
    </mc:Choice>
  </mc:AlternateContent>
  <xr:revisionPtr revIDLastSave="0" documentId="13_ncr:1_{C432ADBA-2427-4D44-8D11-764C36532106}"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1" l="1"/>
  <c r="F12" i="1"/>
  <c r="E10" i="1"/>
  <c r="W9" i="1"/>
  <c r="V9" i="1"/>
  <c r="T9" i="1"/>
  <c r="U9" i="1" s="1"/>
  <c r="Q9" i="1"/>
  <c r="P9" i="1"/>
  <c r="W8" i="1"/>
  <c r="V8" i="1"/>
  <c r="T8" i="1"/>
  <c r="U8" i="1" s="1"/>
  <c r="P8" i="1"/>
  <c r="Z7" i="1"/>
  <c r="W7" i="1"/>
  <c r="V7" i="1"/>
  <c r="T7" i="1"/>
  <c r="U7" i="1" s="1"/>
  <c r="P7" i="1"/>
  <c r="L7" i="1"/>
  <c r="M7" i="1" s="1"/>
  <c r="Z6" i="1"/>
  <c r="W6" i="1"/>
  <c r="V6" i="1"/>
  <c r="T6" i="1"/>
  <c r="U6" i="1" s="1"/>
  <c r="Q6" i="1"/>
  <c r="P6" i="1"/>
  <c r="L6" i="1"/>
  <c r="Z5" i="1"/>
  <c r="W5" i="1"/>
  <c r="V5" i="1"/>
  <c r="T5" i="1"/>
  <c r="Q5" i="1"/>
  <c r="P5" i="1"/>
  <c r="L5" i="1"/>
  <c r="Z4" i="1"/>
  <c r="W4" i="1"/>
  <c r="V4" i="1"/>
  <c r="T4" i="1"/>
  <c r="U4" i="1" s="1"/>
  <c r="Q4" i="1"/>
  <c r="P4" i="1"/>
  <c r="L4" i="1"/>
  <c r="M4" i="1" s="1"/>
  <c r="W3" i="1"/>
  <c r="V3" i="1"/>
  <c r="T3" i="1"/>
  <c r="U3" i="1" s="1"/>
  <c r="Q3" i="1"/>
  <c r="Q1" i="1" s="1"/>
  <c r="P3" i="1"/>
  <c r="L3" i="1"/>
  <c r="W2" i="1"/>
  <c r="V2" i="1"/>
  <c r="T2" i="1"/>
  <c r="P2" i="1"/>
  <c r="P1" i="1" s="1"/>
  <c r="L2" i="1"/>
  <c r="T1" i="1"/>
  <c r="U2" i="1" s="1"/>
  <c r="M2" i="1" l="1"/>
  <c r="M6" i="1"/>
  <c r="M3" i="1"/>
  <c r="M5" i="1"/>
  <c r="L8" i="1"/>
  <c r="M8" i="1" s="1"/>
  <c r="U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Y1" authorId="0" shapeId="0" xr:uid="{00000000-0006-0000-0000-000001000000}">
      <text>
        <r>
          <rPr>
            <sz val="10"/>
            <color rgb="FF000000"/>
            <rFont val="Arial"/>
            <scheme val="minor"/>
          </rPr>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r>
      </text>
    </comment>
    <comment ref="A11" authorId="0" shapeId="0" xr:uid="{00000000-0006-0000-0000-000002000000}">
      <text>
        <r>
          <rPr>
            <sz val="10"/>
            <color rgb="FF000000"/>
            <rFont val="Arial"/>
            <scheme val="minor"/>
          </rPr>
          <t>This TCS ID must be filled in for easy tracking or mention.
Use this format:
TCS-[Module Code]-[Sequence Number]
Example:
1. TCS-WEB-01-001
2. TCS-CMS-01-001</t>
        </r>
      </text>
    </comment>
    <comment ref="B11" authorId="0" shapeId="0" xr:uid="{00000000-0006-0000-0000-000003000000}">
      <text>
        <r>
          <rPr>
            <sz val="10"/>
            <color rgb="FF000000"/>
            <rFont val="Arial"/>
            <scheme val="minor"/>
          </rPr>
          <t>Fill this with the menu name of the level 1</t>
        </r>
      </text>
    </comment>
    <comment ref="C11" authorId="0" shapeId="0" xr:uid="{00000000-0006-0000-0000-000004000000}">
      <text>
        <r>
          <rPr>
            <sz val="10"/>
            <color rgb="FF000000"/>
            <rFont val="Arial"/>
            <scheme val="minor"/>
          </rPr>
          <t xml:space="preserve">Fill this with the menu name of the level 2.
If it only has level 1, fill it with (-) or minus sign. </t>
        </r>
      </text>
    </comment>
    <comment ref="D11" authorId="0" shapeId="0" xr:uid="{00000000-0006-0000-0000-000005000000}">
      <text>
        <r>
          <rPr>
            <sz val="10"/>
            <color rgb="FF000000"/>
            <rFont val="Arial"/>
            <scheme val="minor"/>
          </rPr>
          <t>Fill this with the menu name of the level 3.
If it only has levels 1-2, fill it with (-) or minus sign.
You can hide this column if all of the menus do not have level 3.</t>
        </r>
      </text>
    </comment>
    <comment ref="E11" authorId="0" shapeId="0" xr:uid="{00000000-0006-0000-0000-000006000000}">
      <text>
        <r>
          <rPr>
            <sz val="10"/>
            <color rgb="FF000000"/>
            <rFont val="Arial"/>
            <scheme val="minor"/>
          </rPr>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r>
      </text>
    </comment>
    <comment ref="F11" authorId="0" shapeId="0" xr:uid="{00000000-0006-0000-0000-000007000000}">
      <text>
        <r>
          <rPr>
            <sz val="10"/>
            <color rgb="FF000000"/>
            <rFont val="Arial"/>
            <scheme val="minor"/>
          </rPr>
          <t>Write the test step in as much detail as possible to ease the process of running the test case scenario.</t>
        </r>
      </text>
    </comment>
    <comment ref="G11" authorId="0" shapeId="0" xr:uid="{00000000-0006-0000-0000-000008000000}">
      <text>
        <r>
          <rPr>
            <sz val="10"/>
            <color rgb="FF000000"/>
            <rFont val="Arial"/>
            <scheme val="minor"/>
          </rPr>
          <t>Write all the results that are expected when running the test case scenario.
Use numbering if the expected result is more than one.
Example:
1. Expected Result 1
2. Expected Result 2</t>
        </r>
      </text>
    </comment>
    <comment ref="H11" authorId="0" shapeId="0" xr:uid="{00000000-0006-0000-0000-000009000000}">
      <text>
        <r>
          <rPr>
            <sz val="10"/>
            <color rgb="FF000000"/>
            <rFont val="Arial"/>
            <scheme val="minor"/>
          </rPr>
          <t xml:space="preserve">TEST TYPE INFORMATION
Pos. : Positive Test Case, expected to function correctly (valid data)
Neg. : Negative Test Case, expected to fail (invalid or incorrect data) </t>
        </r>
      </text>
    </comment>
    <comment ref="I11" authorId="0" shapeId="0" xr:uid="{00000000-0006-0000-0000-00000A000000}">
      <text>
        <r>
          <rPr>
            <sz val="10"/>
            <color rgb="FF000000"/>
            <rFont val="Arial"/>
            <scheme val="minor"/>
          </rPr>
          <t>Write the user role who will run the test case scenario</t>
        </r>
      </text>
    </comment>
    <comment ref="K11" authorId="0" shapeId="0" xr:uid="{00000000-0006-0000-0000-00000B000000}">
      <text>
        <r>
          <rPr>
            <sz val="10"/>
            <color rgb="FF000000"/>
            <rFont val="Arial"/>
            <scheme val="minor"/>
          </rPr>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r>
      </text>
    </comment>
    <comment ref="L11" authorId="0" shapeId="0" xr:uid="{00000000-0006-0000-0000-00000C000000}">
      <text>
        <r>
          <rPr>
            <sz val="10"/>
            <color rgb="FF000000"/>
            <rFont val="Arial"/>
            <scheme val="minor"/>
          </rPr>
          <t>Each time the status is updated, this 'Updated At' date should be updated
Format date: 
Day, DD Mon (Ex: Mon, 29 Apr)
Use the keyboard shortcut CTRL/CMD + ; 
to fill the cell with today's date</t>
        </r>
      </text>
    </comment>
    <comment ref="M11" authorId="0" shapeId="0" xr:uid="{00000000-0006-0000-0000-00000D000000}">
      <text>
        <r>
          <rPr>
            <sz val="10"/>
            <color rgb="FF000000"/>
            <rFont val="Arial"/>
            <scheme val="minor"/>
          </rPr>
          <t>Fill this column with the analyst name who is in charge/testing the scenario
Adjust the analyst name or add a new PIC in the 'Summary' Sheet &gt; 'Functional Testing' Section &gt; 'Testing Update - Analyst' Table</t>
        </r>
      </text>
    </comment>
    <comment ref="N11" authorId="0" shapeId="0" xr:uid="{00000000-0006-0000-0000-00000E000000}">
      <text>
        <r>
          <rPr>
            <sz val="10"/>
            <color rgb="FF000000"/>
            <rFont val="Arial"/>
            <scheme val="minor"/>
          </rPr>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r>
      </text>
    </comment>
    <comment ref="O11" authorId="0" shapeId="0" xr:uid="{00000000-0006-0000-0000-00000F000000}">
      <text>
        <r>
          <rPr>
            <sz val="10"/>
            <color rgb="FF000000"/>
            <rFont val="Arial"/>
            <scheme val="minor"/>
          </rPr>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r>
      </text>
    </comment>
    <comment ref="P11" authorId="0" shapeId="0" xr:uid="{00000000-0006-0000-0000-000010000000}">
      <text>
        <r>
          <rPr>
            <sz val="10"/>
            <color rgb="FF000000"/>
            <rFont val="Arial"/>
            <scheme val="minor"/>
          </rPr>
          <t>Each time the status is updated, this 'Updated At' date time should be updated
Format date: 
Day, DD Mon /HH:MM (Ex: Mon, 29 Apr / 12:12)
Use the keyboard shortcut CTRL/CMD + ALT/OPT + SHIFT + ; 
to fill the cell with today's date time</t>
        </r>
      </text>
    </comment>
    <comment ref="Q11" authorId="0" shapeId="0" xr:uid="{00000000-0006-0000-0000-000011000000}">
      <text>
        <r>
          <rPr>
            <sz val="10"/>
            <color rgb="FF000000"/>
            <rFont val="Arial"/>
            <scheme val="minor"/>
          </rPr>
          <t>Define the issue scope based on the PIC who will fix it.
[SCOPE INFORMATION]
1. BE: Backend Developer
2. FE: Frontend Developer
3. BE - FE: BE needs to fix it first then FE fixes it
4. FE - BE: FE needs to fix it first then BE fixes it</t>
        </r>
      </text>
    </comment>
    <comment ref="R11" authorId="0" shapeId="0" xr:uid="{00000000-0006-0000-0000-000012000000}">
      <text>
        <r>
          <rPr>
            <sz val="10"/>
            <color rgb="FF000000"/>
            <rFont val="Arial"/>
            <scheme val="minor"/>
          </rPr>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r>
      </text>
    </comment>
    <comment ref="S11" authorId="0" shapeId="0" xr:uid="{00000000-0006-0000-0000-000013000000}">
      <text>
        <r>
          <rPr>
            <sz val="10"/>
            <color rgb="FF000000"/>
            <rFont val="Arial"/>
            <scheme val="minor"/>
          </rPr>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r>
      </text>
    </comment>
    <comment ref="T11" authorId="0" shapeId="0" xr:uid="{00000000-0006-0000-0000-000014000000}">
      <text>
        <r>
          <rPr>
            <sz val="10"/>
            <color rgb="FF000000"/>
            <rFont val="Arial"/>
            <scheme val="minor"/>
          </rPr>
          <t>Each time the status is updated, this 'Updated At' date time should be updated
Format date: 
Day, DD Mon /HH:MM (Ex: Mon, 29 Apr / 12:12)
Use the keyboard shortcut CTRL/CMD + ALT/OPT + SHIFT + ; 
to fill the cell with today's date time</t>
        </r>
      </text>
    </comment>
    <comment ref="U11" authorId="0" shapeId="0" xr:uid="{00000000-0006-0000-0000-000015000000}">
      <text>
        <r>
          <rPr>
            <sz val="10"/>
            <color rgb="FF000000"/>
            <rFont val="Arial"/>
            <scheme val="minor"/>
          </rPr>
          <t>Define the current PIC who should/is fixing the issue.
1. BE: Backend Developer
2. FE: Frontend Developer</t>
        </r>
      </text>
    </comment>
    <comment ref="V11" authorId="0" shapeId="0" xr:uid="{00000000-0006-0000-0000-000016000000}">
      <text>
        <r>
          <rPr>
            <sz val="10"/>
            <color rgb="FF000000"/>
            <rFont val="Arial"/>
            <scheme val="minor"/>
          </rPr>
          <t>Assign the BE Developer name who should fix the issue.
Adjust the BE Developer name or add a new PIC in the 'Summary' Sheet &gt; 'Functional Testing' Section &gt; 'Developer Update' Section.
If the BE Developer name is marked in BOLD BLUE, the developer is the current PIC (PIC Now).</t>
        </r>
      </text>
    </comment>
    <comment ref="W11" authorId="0" shapeId="0" xr:uid="{00000000-0006-0000-0000-000017000000}">
      <text>
        <r>
          <rPr>
            <sz val="10"/>
            <color rgb="FF000000"/>
            <rFont val="Arial"/>
            <scheme val="minor"/>
          </rPr>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r>
      </text>
    </comment>
    <comment ref="X11" authorId="0" shapeId="0" xr:uid="{00000000-0006-0000-0000-000018000000}">
      <text>
        <r>
          <rPr>
            <sz val="10"/>
            <color rgb="FF000000"/>
            <rFont val="Arial"/>
            <scheme val="minor"/>
          </rPr>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r>
      </text>
    </comment>
    <comment ref="Y11" authorId="0" shapeId="0" xr:uid="{00000000-0006-0000-0000-000019000000}">
      <text>
        <r>
          <rPr>
            <sz val="10"/>
            <color rgb="FF000000"/>
            <rFont val="Arial"/>
            <scheme val="minor"/>
          </rPr>
          <t>Define the Frontend Development target for fixing the issue.
FE must be committed to the target.</t>
        </r>
      </text>
    </comment>
    <comment ref="Z11" authorId="0" shapeId="0" xr:uid="{00000000-0006-0000-0000-00001A000000}">
      <text>
        <r>
          <rPr>
            <sz val="10"/>
            <color rgb="FF000000"/>
            <rFont val="Arial"/>
            <scheme val="minor"/>
          </rPr>
          <t>BE Developer can write additional information regarding the issue in this column</t>
        </r>
      </text>
    </comment>
    <comment ref="AA11" authorId="0" shapeId="0" xr:uid="{00000000-0006-0000-0000-00001B000000}">
      <text>
        <r>
          <rPr>
            <sz val="10"/>
            <color rgb="FF000000"/>
            <rFont val="Arial"/>
            <scheme val="minor"/>
          </rPr>
          <t>FE Developer can write additional information regarding the issue in this column</t>
        </r>
      </text>
    </comment>
  </commentList>
</comments>
</file>

<file path=xl/sharedStrings.xml><?xml version="1.0" encoding="utf-8"?>
<sst xmlns="http://schemas.openxmlformats.org/spreadsheetml/2006/main" count="114" uniqueCount="92">
  <si>
    <t>Notes Apps</t>
  </si>
  <si>
    <t>Account Credential:</t>
  </si>
  <si>
    <t>Testing</t>
  </si>
  <si>
    <t>Total</t>
  </si>
  <si>
    <t>%</t>
  </si>
  <si>
    <t>Issue</t>
  </si>
  <si>
    <t>Bug Fixing</t>
  </si>
  <si>
    <t>BE</t>
  </si>
  <si>
    <t>FE</t>
  </si>
  <si>
    <t>Others</t>
  </si>
  <si>
    <t>BE , FE</t>
  </si>
  <si>
    <t>mandatory (if any)</t>
  </si>
  <si>
    <t>OK</t>
  </si>
  <si>
    <t>-</t>
  </si>
  <si>
    <t>Issued</t>
  </si>
  <si>
    <t>Overdue</t>
  </si>
  <si>
    <t>0 , 0</t>
  </si>
  <si>
    <t>👤 Users</t>
  </si>
  <si>
    <t>Publik &amp; Pembeli</t>
  </si>
  <si>
    <t>⚠️  Legend</t>
  </si>
  <si>
    <t>MINOR</t>
  </si>
  <si>
    <t>On Progress</t>
  </si>
  <si>
    <t>Due Today</t>
  </si>
  <si>
    <t>🔗 Design</t>
  </si>
  <si>
    <t>: put the link</t>
  </si>
  <si>
    <t>Example</t>
  </si>
  <si>
    <t>NOT OK</t>
  </si>
  <si>
    <t>MAJOR</t>
  </si>
  <si>
    <t>Local Done</t>
  </si>
  <si>
    <t>Unassigned PIC</t>
  </si>
  <si>
    <t>🔗 FE</t>
  </si>
  <si>
    <t>Priority</t>
  </si>
  <si>
    <t>HOLD</t>
  </si>
  <si>
    <t>CRITICAL</t>
  </si>
  <si>
    <t>On Review</t>
  </si>
  <si>
    <t>Last Target BE</t>
  </si>
  <si>
    <t>🔗 Staging</t>
  </si>
  <si>
    <t>Need for Clarification</t>
  </si>
  <si>
    <t>READY FOR TEST</t>
  </si>
  <si>
    <t>BE Done Next FE</t>
  </si>
  <si>
    <t>Last Target FE</t>
  </si>
  <si>
    <t>Just Added</t>
  </si>
  <si>
    <t>NOT RUN</t>
  </si>
  <si>
    <t>Not Issue</t>
  </si>
  <si>
    <t>FE Done Next BE</t>
  </si>
  <si>
    <t>Today</t>
  </si>
  <si>
    <t>Takeout</t>
  </si>
  <si>
    <t>Total Run</t>
  </si>
  <si>
    <t>OK-moved</t>
  </si>
  <si>
    <t>Done</t>
  </si>
  <si>
    <t>Unassigned</t>
  </si>
  <si>
    <t>Hold</t>
  </si>
  <si>
    <t>Scenario Total</t>
  </si>
  <si>
    <t>Testing Update</t>
  </si>
  <si>
    <t>Issue Update</t>
  </si>
  <si>
    <t>Developer Update</t>
  </si>
  <si>
    <t>TCS ID</t>
  </si>
  <si>
    <t>Menu</t>
  </si>
  <si>
    <t>Submenu 1</t>
  </si>
  <si>
    <t>Submenu 2</t>
  </si>
  <si>
    <t>Test Case Scenario</t>
  </si>
  <si>
    <t>Test Step</t>
  </si>
  <si>
    <t>Expected Result</t>
  </si>
  <si>
    <t>Test Type</t>
  </si>
  <si>
    <t>User</t>
  </si>
  <si>
    <t>Time Testing</t>
  </si>
  <si>
    <t>Testing Status</t>
  </si>
  <si>
    <t>Updated At</t>
  </si>
  <si>
    <t>Testing By</t>
  </si>
  <si>
    <t>OK Evid.</t>
  </si>
  <si>
    <t>Issue Status</t>
  </si>
  <si>
    <t>Scope</t>
  </si>
  <si>
    <t>Developer Status</t>
  </si>
  <si>
    <t>PIC Now</t>
  </si>
  <si>
    <t>BE PIC</t>
  </si>
  <si>
    <t>FE PIC</t>
  </si>
  <si>
    <t>BE Target</t>
  </si>
  <si>
    <t>FE Target</t>
  </si>
  <si>
    <t>BE Notes</t>
  </si>
  <si>
    <t>FE Notes</t>
  </si>
  <si>
    <t>Login</t>
  </si>
  <si>
    <t>NOTE-001</t>
  </si>
  <si>
    <t>Xiaomi Notes</t>
  </si>
  <si>
    <t xml:space="preserve">Membuat catatan baru </t>
  </si>
  <si>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</si>
  <si>
    <t>Catatan tersimpan dan terlihat di daftar utama dengan judul "Rencana Skripsi 2026".</t>
  </si>
  <si>
    <t>Pos.</t>
  </si>
  <si>
    <t>2m 22s</t>
  </si>
  <si>
    <t>NOTE-002</t>
  </si>
  <si>
    <t>Membuat Tugas Baru</t>
  </si>
  <si>
    <t>1. Pengguna klik tombol "tugas" pada menu navigasi bawah
2. Pengguna klik tombol "+" (tambah) untuk membuat tugas baru
3. Pengguna Memasukkan konten "Kerjain Skripsinya"
4. Pengguna klik teks "selesai" dan melihat di tampilan apakah sudah tersimpan</t>
  </si>
  <si>
    <t>Tugas tersimpan dan terlihat di daftar utama dengan konten "Kerjain Skripsinya".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</si>
</sst>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quot;, &quot;dd&quot; &quot;mmm"/>
    <numFmt numFmtId="165" formatCode="ddd&quot;, &quot;dd&quot; &quot;mmm&quot; / &quot;hh&quot;:&quot;mm"/>
  </numFmts>
  <fonts count="19">
    <font>
      <sz val="10"/>
      <color rgb="FF000000"/>
      <name val="Arial"/>
      <scheme val="minor"/>
    </font>
    <font>
      <b/>
      <sz val="10"/>
      <color theme="1"/>
      <name val="Proxima Nova"/>
    </font>
    <font>
      <sz val="10"/>
      <color theme="1"/>
      <name val="Arial"/>
    </font>
    <font>
      <b/>
      <u/>
      <sz val="10"/>
      <color rgb="FF1155CC"/>
      <name val="Proxima Nova"/>
    </font>
    <font>
      <b/>
      <u/>
      <sz val="10"/>
      <color rgb="FF1155CC"/>
      <name val="Proxima Nova"/>
    </font>
    <font>
      <b/>
      <u/>
      <sz val="10"/>
      <color rgb="FFFF0000"/>
      <name val="Proxima Nova"/>
    </font>
    <font>
      <b/>
      <i/>
      <sz val="10"/>
      <color rgb="FF0000FF"/>
      <name val="Proxima Nova"/>
    </font>
    <font>
      <sz val="10"/>
      <color theme="1"/>
      <name val="Proxima Nova"/>
    </font>
    <font>
      <b/>
      <sz val="10"/>
      <color rgb="FF980000"/>
      <name val="Proxima Nova"/>
    </font>
    <font>
      <b/>
      <sz val="10"/>
      <color rgb="FF274E13"/>
      <name val="Proxima Nova"/>
    </font>
    <font>
      <b/>
      <sz val="10"/>
      <color rgb="FFFFFFFF"/>
      <name val="Proxima Nova"/>
    </font>
    <font>
      <b/>
      <sz val="10"/>
      <color rgb="FF4285F4"/>
      <name val="Proxima Nova"/>
    </font>
    <font>
      <b/>
      <sz val="10"/>
      <color rgb="FFEA4335"/>
      <name val="Proxima Nova"/>
    </font>
    <font>
      <b/>
      <u/>
      <sz val="10"/>
      <color rgb="FF1155CC"/>
      <name val="Proxima Nova"/>
    </font>
    <font>
      <b/>
      <u/>
      <sz val="10"/>
      <color rgb="FF1155CC"/>
      <name val="Proxima Nova"/>
    </font>
    <font>
      <b/>
      <u/>
      <sz val="10"/>
      <color rgb="FF1155CC"/>
      <name val="Proxima Nova"/>
    </font>
    <font>
      <u/>
      <sz val="10"/>
      <color rgb="FF1155CC"/>
      <name val="Proxima Nova"/>
    </font>
    <font>
      <b/>
      <sz val="10"/>
      <color rgb="FF000000"/>
      <name val="Arial"/>
      <family val="2"/>
      <scheme val="minor"/>
    </font>
    <font>
      <sz val="10"/>
      <color rgb="FF000000"/>
      <name val="Arial"/>
      <family val="2"/>
      <scheme val="minor"/>
    </font>
  </fonts>
  <fills count="22">
    <fill>
      <patternFill patternType="none"/>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6">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s>
  <cellStyleXfs count="1">
    <xf numFmtId="0" fontId="0" fillId="0" borderId="0"/>
  </cellStyleXfs>
  <cellXfs count="118">
    <xf numFmtId="0" fontId="0" fillId="0" borderId="0" xfId="0"/>
    <xf numFmtId="0" fontId="1" fillId="0" borderId="0" xfId="0" applyFont="1" applyAlignment="1">
      <alignment vertical="top"/>
    </xf>
    <xf numFmtId="0" fontId="2" fillId="0" borderId="0" xfId="0" applyFont="1" applyAlignment="1">
      <alignment vertical="top"/>
    </xf>
    <xf numFmtId="0" fontId="2" fillId="0" borderId="1" xfId="0" applyFont="1" applyBorder="1" applyAlignment="1">
      <alignment vertical="top"/>
    </xf>
    <xf numFmtId="0" fontId="3" fillId="2" borderId="2" xfId="0" applyFont="1" applyFill="1" applyBorder="1" applyAlignment="1">
      <alignment vertical="top"/>
    </xf>
    <xf numFmtId="3" fontId="1" fillId="2" borderId="0" xfId="0" applyNumberFormat="1" applyFont="1" applyFill="1" applyAlignment="1">
      <alignment horizontal="center"/>
    </xf>
    <xf numFmtId="3" fontId="1" fillId="2" borderId="0" xfId="0" applyNumberFormat="1" applyFont="1" applyFill="1" applyAlignment="1">
      <alignment horizontal="right"/>
    </xf>
    <xf numFmtId="10" fontId="2" fillId="0" borderId="0" xfId="0" applyNumberFormat="1" applyFont="1" applyAlignment="1">
      <alignment vertical="top"/>
    </xf>
    <xf numFmtId="0" fontId="4" fillId="2" borderId="3" xfId="0" applyFont="1" applyFill="1" applyBorder="1" applyAlignment="1">
      <alignment vertical="top"/>
    </xf>
    <xf numFmtId="3" fontId="1" fillId="2" borderId="0" xfId="0" applyNumberFormat="1" applyFont="1" applyFill="1" applyAlignment="1">
      <alignment horizontal="center" wrapText="1"/>
    </xf>
    <xf numFmtId="3" fontId="1" fillId="3" borderId="0" xfId="0" applyNumberFormat="1" applyFont="1" applyFill="1" applyAlignment="1">
      <alignment horizontal="center"/>
    </xf>
    <xf numFmtId="0" fontId="2" fillId="0" borderId="0" xfId="0" applyFont="1"/>
    <xf numFmtId="0" fontId="1" fillId="2" borderId="0" xfId="0" applyFont="1" applyFill="1" applyAlignment="1">
      <alignment horizontal="center" vertical="top"/>
    </xf>
    <xf numFmtId="0" fontId="1" fillId="2" borderId="0" xfId="0" applyFont="1" applyFill="1" applyAlignment="1">
      <alignment horizontal="right" vertical="top"/>
    </xf>
    <xf numFmtId="0" fontId="1" fillId="2" borderId="0" xfId="0" applyFont="1" applyFill="1" applyAlignment="1">
      <alignment vertical="top"/>
    </xf>
    <xf numFmtId="0" fontId="6" fillId="0" borderId="0" xfId="0" applyFont="1" applyAlignment="1">
      <alignment vertical="top"/>
    </xf>
    <xf numFmtId="0" fontId="1" fillId="4" borderId="2" xfId="0" applyFont="1" applyFill="1" applyBorder="1" applyAlignment="1">
      <alignment vertical="top"/>
    </xf>
    <xf numFmtId="49" fontId="1" fillId="0" borderId="0" xfId="0" applyNumberFormat="1" applyFont="1" applyAlignment="1">
      <alignment horizontal="center" vertical="top"/>
    </xf>
    <xf numFmtId="10" fontId="1" fillId="0" borderId="0" xfId="0" applyNumberFormat="1" applyFont="1" applyAlignment="1">
      <alignment horizontal="right" vertical="top"/>
    </xf>
    <xf numFmtId="0" fontId="1" fillId="4" borderId="3" xfId="0" applyFont="1" applyFill="1" applyBorder="1" applyAlignment="1">
      <alignment vertical="top"/>
    </xf>
    <xf numFmtId="3" fontId="1" fillId="0" borderId="0" xfId="0" applyNumberFormat="1" applyFont="1" applyAlignment="1">
      <alignment horizontal="center" vertical="top" wrapText="1"/>
    </xf>
    <xf numFmtId="49" fontId="7" fillId="0" borderId="0" xfId="0" applyNumberFormat="1" applyFont="1" applyAlignment="1">
      <alignment horizontal="center"/>
    </xf>
    <xf numFmtId="0" fontId="1" fillId="5" borderId="2" xfId="0" applyFont="1" applyFill="1" applyBorder="1" applyAlignment="1">
      <alignment vertical="top"/>
    </xf>
    <xf numFmtId="0" fontId="7" fillId="0" borderId="0" xfId="0" applyFont="1" applyAlignment="1">
      <alignment horizontal="center" vertical="top"/>
    </xf>
    <xf numFmtId="10" fontId="7" fillId="0" borderId="0" xfId="0" applyNumberFormat="1" applyFont="1" applyAlignment="1">
      <alignment horizontal="right"/>
    </xf>
    <xf numFmtId="49" fontId="7" fillId="0" borderId="0" xfId="0" applyNumberFormat="1" applyFont="1" applyAlignment="1">
      <alignment horizontal="center" vertical="top"/>
    </xf>
    <xf numFmtId="0" fontId="8" fillId="6" borderId="0" xfId="0" applyFont="1" applyFill="1" applyAlignment="1">
      <alignment vertical="top"/>
    </xf>
    <xf numFmtId="0" fontId="1" fillId="0" borderId="0" xfId="0" applyFont="1"/>
    <xf numFmtId="0" fontId="7" fillId="0" borderId="0" xfId="0" applyFont="1" applyAlignment="1">
      <alignment vertical="top"/>
    </xf>
    <xf numFmtId="0" fontId="1" fillId="0" borderId="2" xfId="0" applyFont="1" applyBorder="1" applyAlignment="1">
      <alignment vertical="top"/>
    </xf>
    <xf numFmtId="0" fontId="1" fillId="7" borderId="2" xfId="0" applyFont="1" applyFill="1" applyBorder="1" applyAlignment="1">
      <alignment vertical="top"/>
    </xf>
    <xf numFmtId="10" fontId="7" fillId="0" borderId="0" xfId="0" applyNumberFormat="1" applyFont="1" applyAlignment="1">
      <alignment horizontal="right" vertical="top"/>
    </xf>
    <xf numFmtId="10" fontId="1" fillId="7" borderId="3" xfId="0" applyNumberFormat="1" applyFont="1" applyFill="1" applyBorder="1" applyAlignment="1">
      <alignment vertical="top"/>
    </xf>
    <xf numFmtId="3" fontId="7" fillId="0" borderId="0" xfId="0" applyNumberFormat="1" applyFont="1" applyAlignment="1">
      <alignment horizontal="center" vertical="top" wrapText="1"/>
    </xf>
    <xf numFmtId="0" fontId="7" fillId="0" borderId="0" xfId="0" applyFont="1" applyAlignment="1">
      <alignment horizontal="center"/>
    </xf>
    <xf numFmtId="0" fontId="9" fillId="8" borderId="0" xfId="0" applyFont="1" applyFill="1" applyAlignment="1">
      <alignment vertical="top"/>
    </xf>
    <xf numFmtId="0" fontId="1" fillId="9" borderId="2" xfId="0" applyFont="1" applyFill="1" applyBorder="1" applyAlignment="1">
      <alignment vertical="top"/>
    </xf>
    <xf numFmtId="0" fontId="1" fillId="5" borderId="3" xfId="0" applyFont="1" applyFill="1" applyBorder="1" applyAlignment="1">
      <alignment vertical="top"/>
    </xf>
    <xf numFmtId="0" fontId="1" fillId="10" borderId="2" xfId="0" applyFont="1" applyFill="1" applyBorder="1" applyAlignment="1">
      <alignment vertical="top"/>
    </xf>
    <xf numFmtId="0" fontId="8" fillId="0" borderId="0" xfId="0" applyFont="1" applyAlignment="1">
      <alignment wrapText="1"/>
    </xf>
    <xf numFmtId="0" fontId="1" fillId="11" borderId="2" xfId="0" applyFont="1" applyFill="1" applyBorder="1" applyAlignment="1">
      <alignment vertical="top"/>
    </xf>
    <xf numFmtId="0" fontId="1" fillId="12" borderId="2" xfId="0" applyFont="1" applyFill="1" applyBorder="1" applyAlignment="1">
      <alignment vertical="top" wrapText="1"/>
    </xf>
    <xf numFmtId="0" fontId="10" fillId="13" borderId="3" xfId="0" applyFont="1" applyFill="1" applyBorder="1" applyAlignment="1">
      <alignment vertical="top" wrapText="1"/>
    </xf>
    <xf numFmtId="0" fontId="1" fillId="14" borderId="2" xfId="0" applyFont="1" applyFill="1" applyBorder="1" applyAlignment="1">
      <alignment vertical="top"/>
    </xf>
    <xf numFmtId="0" fontId="11" fillId="0" borderId="0" xfId="0" applyFont="1" applyAlignment="1">
      <alignment vertical="top"/>
    </xf>
    <xf numFmtId="164" fontId="10" fillId="13" borderId="0" xfId="0" applyNumberFormat="1" applyFont="1" applyFill="1"/>
    <xf numFmtId="164" fontId="2" fillId="0" borderId="0" xfId="0" applyNumberFormat="1" applyFont="1"/>
    <xf numFmtId="0" fontId="1" fillId="6" borderId="2" xfId="0" applyFont="1" applyFill="1" applyBorder="1" applyAlignment="1">
      <alignment vertical="top"/>
    </xf>
    <xf numFmtId="0" fontId="9" fillId="15" borderId="2" xfId="0" applyFont="1" applyFill="1" applyBorder="1" applyAlignment="1">
      <alignment vertical="top" wrapText="1"/>
    </xf>
    <xf numFmtId="10" fontId="1" fillId="12" borderId="3" xfId="0" applyNumberFormat="1" applyFont="1" applyFill="1" applyBorder="1" applyAlignment="1">
      <alignment vertical="top" wrapText="1"/>
    </xf>
    <xf numFmtId="0" fontId="12" fillId="15" borderId="2" xfId="0" applyFont="1" applyFill="1" applyBorder="1" applyAlignment="1">
      <alignment vertical="top" wrapText="1"/>
    </xf>
    <xf numFmtId="0" fontId="12" fillId="0" borderId="0" xfId="0" applyFont="1" applyAlignment="1">
      <alignment vertical="top"/>
    </xf>
    <xf numFmtId="0" fontId="7" fillId="16" borderId="2" xfId="0" applyFont="1" applyFill="1" applyBorder="1" applyAlignment="1">
      <alignment vertical="top" wrapText="1"/>
    </xf>
    <xf numFmtId="0" fontId="1" fillId="15" borderId="2" xfId="0" applyFont="1" applyFill="1" applyBorder="1" applyAlignment="1">
      <alignment vertical="top" wrapText="1"/>
    </xf>
    <xf numFmtId="0" fontId="1" fillId="0" borderId="3" xfId="0" applyFont="1" applyBorder="1" applyAlignment="1">
      <alignment vertical="top" wrapText="1"/>
    </xf>
    <xf numFmtId="0" fontId="11" fillId="0" borderId="2" xfId="0" applyFont="1" applyBorder="1" applyAlignment="1">
      <alignment vertical="top" wrapText="1"/>
    </xf>
    <xf numFmtId="164" fontId="9" fillId="0" borderId="0" xfId="0" applyNumberFormat="1" applyFont="1" applyAlignment="1">
      <alignment vertical="top"/>
    </xf>
    <xf numFmtId="0" fontId="1" fillId="17" borderId="2" xfId="0" applyFont="1" applyFill="1" applyBorder="1" applyAlignment="1">
      <alignment vertical="top" wrapText="1"/>
    </xf>
    <xf numFmtId="0" fontId="1" fillId="18" borderId="0" xfId="0" applyFont="1" applyFill="1" applyAlignment="1">
      <alignment wrapText="1"/>
    </xf>
    <xf numFmtId="49" fontId="1" fillId="18" borderId="0" xfId="0" applyNumberFormat="1" applyFont="1" applyFill="1" applyAlignment="1">
      <alignment horizontal="center" vertical="top"/>
    </xf>
    <xf numFmtId="10" fontId="1" fillId="18" borderId="0" xfId="0" applyNumberFormat="1" applyFont="1" applyFill="1" applyAlignment="1">
      <alignment horizontal="right" vertical="top"/>
    </xf>
    <xf numFmtId="0" fontId="9" fillId="0" borderId="3" xfId="0" applyFont="1" applyBorder="1" applyAlignment="1">
      <alignment vertical="top" wrapText="1"/>
    </xf>
    <xf numFmtId="0" fontId="1" fillId="4" borderId="2" xfId="0" applyFont="1" applyFill="1" applyBorder="1" applyAlignment="1">
      <alignment vertical="top" wrapText="1"/>
    </xf>
    <xf numFmtId="0" fontId="1" fillId="0" borderId="0" xfId="0" applyFont="1" applyAlignment="1">
      <alignment horizontal="center" vertical="top"/>
    </xf>
    <xf numFmtId="10" fontId="1" fillId="0" borderId="0" xfId="0" applyNumberFormat="1" applyFont="1" applyAlignment="1">
      <alignment horizontal="right"/>
    </xf>
    <xf numFmtId="0" fontId="8" fillId="0" borderId="3" xfId="0" applyFont="1" applyBorder="1" applyAlignment="1">
      <alignment vertical="top" wrapText="1"/>
    </xf>
    <xf numFmtId="0" fontId="1" fillId="0" borderId="0" xfId="0" applyFont="1" applyAlignment="1">
      <alignment horizontal="center"/>
    </xf>
    <xf numFmtId="0" fontId="1" fillId="18" borderId="4" xfId="0" applyFont="1" applyFill="1" applyBorder="1" applyAlignment="1">
      <alignment horizontal="center" vertical="top" wrapText="1"/>
    </xf>
    <xf numFmtId="0" fontId="1" fillId="15" borderId="4"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4" xfId="0" applyFont="1" applyFill="1" applyBorder="1" applyAlignment="1">
      <alignment horizontal="center" wrapText="1"/>
    </xf>
    <xf numFmtId="0" fontId="1" fillId="2" borderId="9" xfId="0" applyFont="1" applyFill="1" applyBorder="1" applyAlignment="1">
      <alignment horizontal="center" wrapText="1"/>
    </xf>
    <xf numFmtId="0" fontId="1" fillId="2" borderId="6" xfId="0" applyFont="1" applyFill="1" applyBorder="1" applyAlignment="1">
      <alignment horizontal="center" wrapText="1"/>
    </xf>
    <xf numFmtId="0" fontId="1" fillId="19" borderId="10" xfId="0" applyFont="1" applyFill="1" applyBorder="1" applyAlignment="1">
      <alignment horizontal="center" wrapText="1"/>
    </xf>
    <xf numFmtId="0" fontId="1" fillId="19" borderId="4" xfId="0" applyFont="1" applyFill="1" applyBorder="1" applyAlignment="1">
      <alignment horizontal="center" wrapText="1"/>
    </xf>
    <xf numFmtId="0" fontId="1" fillId="19" borderId="11" xfId="0" applyFont="1" applyFill="1" applyBorder="1" applyAlignment="1">
      <alignment wrapText="1"/>
    </xf>
    <xf numFmtId="0" fontId="1" fillId="20" borderId="12" xfId="0" applyFont="1" applyFill="1" applyBorder="1" applyAlignment="1">
      <alignment horizontal="center" wrapText="1"/>
    </xf>
    <xf numFmtId="0" fontId="1" fillId="20" borderId="4" xfId="0" applyFont="1" applyFill="1" applyBorder="1" applyAlignment="1">
      <alignment horizontal="center" wrapText="1"/>
    </xf>
    <xf numFmtId="0" fontId="1" fillId="21" borderId="10" xfId="0" applyFont="1" applyFill="1" applyBorder="1" applyAlignment="1">
      <alignment horizontal="center" wrapText="1"/>
    </xf>
    <xf numFmtId="0" fontId="1" fillId="21" borderId="4" xfId="0" applyFont="1" applyFill="1" applyBorder="1" applyAlignment="1">
      <alignment horizontal="center" wrapText="1"/>
    </xf>
    <xf numFmtId="0" fontId="1" fillId="21" borderId="11" xfId="0" applyFont="1" applyFill="1" applyBorder="1" applyAlignment="1">
      <alignment horizontal="center" wrapText="1"/>
    </xf>
    <xf numFmtId="0" fontId="1" fillId="11" borderId="0" xfId="0" applyFont="1" applyFill="1" applyAlignment="1">
      <alignment horizontal="center" vertical="top" wrapText="1"/>
    </xf>
    <xf numFmtId="0" fontId="1" fillId="8" borderId="0" xfId="0" applyFont="1" applyFill="1" applyAlignment="1">
      <alignment vertical="top" wrapText="1"/>
    </xf>
    <xf numFmtId="0" fontId="2" fillId="8" borderId="0" xfId="0" applyFont="1" applyFill="1" applyAlignment="1">
      <alignment vertical="top"/>
    </xf>
    <xf numFmtId="9" fontId="1" fillId="8" borderId="0" xfId="0" applyNumberFormat="1" applyFont="1" applyFill="1" applyAlignment="1">
      <alignment horizontal="center" vertical="top" wrapText="1"/>
    </xf>
    <xf numFmtId="0" fontId="2" fillId="8" borderId="1" xfId="0" applyFont="1" applyFill="1" applyBorder="1" applyAlignment="1">
      <alignment vertical="top"/>
    </xf>
    <xf numFmtId="0" fontId="2" fillId="8" borderId="2" xfId="0" applyFont="1" applyFill="1" applyBorder="1" applyAlignment="1">
      <alignment vertical="top"/>
    </xf>
    <xf numFmtId="164" fontId="2" fillId="8" borderId="0" xfId="0" applyNumberFormat="1" applyFont="1" applyFill="1" applyAlignment="1">
      <alignment vertical="top"/>
    </xf>
    <xf numFmtId="0" fontId="2" fillId="8" borderId="3" xfId="0" applyFont="1" applyFill="1" applyBorder="1" applyAlignment="1">
      <alignment vertical="top"/>
    </xf>
    <xf numFmtId="165" fontId="2" fillId="8" borderId="0" xfId="0" applyNumberFormat="1" applyFont="1" applyFill="1" applyAlignment="1">
      <alignment vertical="top"/>
    </xf>
    <xf numFmtId="0" fontId="1" fillId="15" borderId="0" xfId="0" applyFont="1" applyFill="1" applyAlignment="1">
      <alignment vertical="top" wrapText="1"/>
    </xf>
    <xf numFmtId="0" fontId="7" fillId="15" borderId="0" xfId="0" applyFont="1" applyFill="1" applyAlignment="1">
      <alignment vertical="top" wrapText="1"/>
    </xf>
    <xf numFmtId="0" fontId="7" fillId="0" borderId="0" xfId="0" applyFont="1" applyAlignment="1">
      <alignment vertical="top" wrapText="1"/>
    </xf>
    <xf numFmtId="0" fontId="7" fillId="0" borderId="1" xfId="0" applyFont="1" applyBorder="1" applyAlignment="1">
      <alignment vertical="top" wrapText="1"/>
    </xf>
    <xf numFmtId="0" fontId="1" fillId="0" borderId="2" xfId="0" applyFont="1" applyBorder="1" applyAlignment="1">
      <alignment vertical="top" wrapText="1"/>
    </xf>
    <xf numFmtId="164" fontId="7" fillId="0" borderId="0" xfId="0" applyNumberFormat="1" applyFont="1" applyAlignment="1">
      <alignment horizontal="center" vertical="top" wrapText="1"/>
    </xf>
    <xf numFmtId="0" fontId="7" fillId="0" borderId="0" xfId="0" applyFont="1" applyAlignment="1">
      <alignment horizontal="center" vertical="top" wrapText="1"/>
    </xf>
    <xf numFmtId="0" fontId="16" fillId="15" borderId="0" xfId="0" applyFont="1" applyFill="1" applyAlignment="1">
      <alignment vertical="top" wrapText="1"/>
    </xf>
    <xf numFmtId="0" fontId="2" fillId="15" borderId="3" xfId="0" applyFont="1" applyFill="1" applyBorder="1" applyAlignment="1">
      <alignment vertical="top"/>
    </xf>
    <xf numFmtId="165" fontId="2" fillId="15" borderId="0" xfId="0" applyNumberFormat="1" applyFont="1" applyFill="1" applyAlignment="1">
      <alignment vertical="top"/>
    </xf>
    <xf numFmtId="0" fontId="2" fillId="15" borderId="0" xfId="0" applyFont="1" applyFill="1" applyAlignment="1">
      <alignment vertical="top"/>
    </xf>
    <xf numFmtId="0" fontId="2" fillId="15" borderId="2" xfId="0" applyFont="1" applyFill="1" applyBorder="1" applyAlignment="1">
      <alignment vertical="top"/>
    </xf>
    <xf numFmtId="164" fontId="2" fillId="15" borderId="0" xfId="0" applyNumberFormat="1" applyFont="1" applyFill="1" applyAlignment="1">
      <alignment vertical="top"/>
    </xf>
    <xf numFmtId="0" fontId="5" fillId="0" borderId="0" xfId="0" applyFont="1" applyAlignment="1">
      <alignment vertical="top"/>
    </xf>
    <xf numFmtId="0" fontId="0" fillId="0" borderId="0" xfId="0"/>
    <xf numFmtId="0" fontId="13" fillId="19" borderId="5" xfId="0" applyFont="1" applyFill="1" applyBorder="1" applyAlignment="1">
      <alignment horizontal="center" vertical="top" wrapText="1"/>
    </xf>
    <xf numFmtId="0" fontId="0" fillId="0" borderId="6" xfId="0" applyBorder="1"/>
    <xf numFmtId="0" fontId="14" fillId="20" borderId="13" xfId="0" applyFont="1" applyFill="1" applyBorder="1" applyAlignment="1">
      <alignment horizontal="center" vertical="top" wrapText="1"/>
    </xf>
    <xf numFmtId="0" fontId="0" fillId="0" borderId="7" xfId="0" applyBorder="1"/>
    <xf numFmtId="0" fontId="15" fillId="21" borderId="10" xfId="0" applyFont="1" applyFill="1" applyBorder="1" applyAlignment="1">
      <alignment horizontal="center" vertical="top" wrapText="1"/>
    </xf>
    <xf numFmtId="0" fontId="0" fillId="0" borderId="8" xfId="0" applyBorder="1"/>
    <xf numFmtId="0" fontId="1" fillId="11" borderId="0" xfId="0" applyFont="1" applyFill="1" applyAlignment="1">
      <alignment horizontal="left" vertical="top" wrapText="1"/>
    </xf>
    <xf numFmtId="0" fontId="1" fillId="15" borderId="0" xfId="0" applyFont="1" applyFill="1" applyAlignment="1">
      <alignment horizontal="left" vertical="top" wrapText="1"/>
    </xf>
    <xf numFmtId="0" fontId="17" fillId="0" borderId="0" xfId="0" applyFont="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top" wrapText="1"/>
    </xf>
    <xf numFmtId="0" fontId="7" fillId="0" borderId="14" xfId="0" applyFont="1" applyBorder="1" applyAlignment="1">
      <alignment vertical="top" wrapText="1"/>
    </xf>
    <xf numFmtId="0" fontId="0" fillId="0" borderId="1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jUJiamUMM-YKog1tIdwksxCagkAwHYlp/view?usp=sharing" TargetMode="External"/><Relationship Id="rId2" Type="http://schemas.openxmlformats.org/officeDocument/2006/relationships/hyperlink" Target="https://drive.google.com/file/d/1W6aXz1aruBW4J2A-lbRuA9fCZxIT-2P2/view?usp=sharing" TargetMode="External"/><Relationship Id="rId1" Type="http://schemas.openxmlformats.org/officeDocument/2006/relationships/hyperlink" Target="https://drive.google.com/file/d/1qFQ4NAdQbhwVKl2bsQUqrQFKKrMVpQpK/view?usp=sharing"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4"/>
  <sheetViews>
    <sheetView tabSelected="1" topLeftCell="G10" zoomScale="115" zoomScaleNormal="115" workbookViewId="0">
      <selection activeCell="R13" sqref="R13"/>
    </sheetView>
  </sheetViews>
  <sheetFormatPr defaultColWidth="12.5703125" defaultRowHeight="15.75" customHeight="1"/>
  <cols>
    <col min="5" max="5" width="17.42578125" customWidth="1"/>
    <col min="6" max="6" width="31.7109375" customWidth="1"/>
  </cols>
  <sheetData>
    <row r="1" spans="1:27" ht="12.75">
      <c r="A1" s="1" t="s">
        <v>0</v>
      </c>
      <c r="B1" s="2"/>
      <c r="C1" s="2"/>
      <c r="D1" s="2"/>
      <c r="E1" s="2"/>
      <c r="F1" s="1" t="s">
        <v>1</v>
      </c>
      <c r="G1" s="2"/>
      <c r="H1" s="2"/>
      <c r="I1" s="3"/>
      <c r="J1" s="2"/>
      <c r="K1" s="4" t="s">
        <v>2</v>
      </c>
      <c r="L1" s="5" t="s">
        <v>3</v>
      </c>
      <c r="M1" s="6" t="s">
        <v>4</v>
      </c>
      <c r="N1" s="7"/>
      <c r="O1" s="8" t="s">
        <v>5</v>
      </c>
      <c r="P1" s="9" t="str">
        <f>"Total" &amp; " (" &amp; SUM(P2,P3,P4,P5,P6,P7,P9) &amp; ") "</f>
        <v xml:space="preserve">Total (0) </v>
      </c>
      <c r="Q1" s="10" t="str">
        <f>"Need Test" &amp; " (" &amp; SUM(Q2:Q9) &amp; ") "</f>
        <v xml:space="preserve">Need Test (0) </v>
      </c>
      <c r="R1" s="11"/>
      <c r="S1" s="4" t="s">
        <v>6</v>
      </c>
      <c r="T1" s="12">
        <f>SUM(T2:T9)</f>
        <v>0</v>
      </c>
      <c r="U1" s="13" t="s">
        <v>4</v>
      </c>
      <c r="V1" s="5" t="s">
        <v>7</v>
      </c>
      <c r="W1" s="5" t="s">
        <v>8</v>
      </c>
      <c r="X1" s="11"/>
      <c r="Y1" s="14" t="s">
        <v>9</v>
      </c>
      <c r="Z1" s="14" t="s">
        <v>10</v>
      </c>
      <c r="AA1" s="11"/>
    </row>
    <row r="2" spans="1:27" ht="12.75">
      <c r="A2" s="103"/>
      <c r="B2" s="104"/>
      <c r="C2" s="104"/>
      <c r="D2" s="104"/>
      <c r="E2" s="104"/>
      <c r="F2" s="15" t="s">
        <v>11</v>
      </c>
      <c r="G2" s="2"/>
      <c r="H2" s="2"/>
      <c r="I2" s="3"/>
      <c r="J2" s="2"/>
      <c r="K2" s="16" t="s">
        <v>12</v>
      </c>
      <c r="L2" s="17">
        <f>COUNTIF($K$13:$K981,$K2)</f>
        <v>0</v>
      </c>
      <c r="M2" s="18">
        <f t="shared" ref="M2:M8" si="0">L2/$E$10</f>
        <v>0</v>
      </c>
      <c r="N2" s="11"/>
      <c r="O2" s="19" t="s">
        <v>12</v>
      </c>
      <c r="P2" s="20">
        <f>COUNTIF($O$12:$O981,"OK*")</f>
        <v>0</v>
      </c>
      <c r="Q2" s="21" t="s">
        <v>13</v>
      </c>
      <c r="R2" s="11"/>
      <c r="S2" s="22" t="s">
        <v>14</v>
      </c>
      <c r="T2" s="23">
        <f>COUNTIF($S$12:$S981, $S2)</f>
        <v>0</v>
      </c>
      <c r="U2" s="24" t="str">
        <f t="shared" ref="U2:U9" si="1">IFERROR(T2/$T$1,"-")</f>
        <v>-</v>
      </c>
      <c r="V2" s="25">
        <f>COUNTIFS($S$12:$S981,$S2,$U$12:$U981,V$1)</f>
        <v>0</v>
      </c>
      <c r="W2" s="25">
        <f>COUNTIFS($S$12:$S981,$S2,$U$12:$U981,W$1)</f>
        <v>0</v>
      </c>
      <c r="X2" s="11"/>
      <c r="Y2" s="26" t="s">
        <v>15</v>
      </c>
      <c r="Z2" s="27" t="s">
        <v>16</v>
      </c>
      <c r="AA2" s="11"/>
    </row>
    <row r="3" spans="1:27" ht="12.75">
      <c r="A3" s="1" t="s">
        <v>17</v>
      </c>
      <c r="B3" s="28" t="s">
        <v>18</v>
      </c>
      <c r="C3" s="2"/>
      <c r="D3" s="2"/>
      <c r="E3" s="29" t="s">
        <v>19</v>
      </c>
      <c r="F3" s="2"/>
      <c r="G3" s="2"/>
      <c r="H3" s="2"/>
      <c r="I3" s="3"/>
      <c r="J3" s="2"/>
      <c r="K3" s="30" t="s">
        <v>20</v>
      </c>
      <c r="L3" s="25">
        <f>COUNTIF($K$12:$K981,$K3)</f>
        <v>0</v>
      </c>
      <c r="M3" s="31">
        <f t="shared" si="0"/>
        <v>0</v>
      </c>
      <c r="N3" s="11"/>
      <c r="O3" s="32" t="s">
        <v>20</v>
      </c>
      <c r="P3" s="33">
        <f>COUNTIF($O$12:$O981,O3)</f>
        <v>0</v>
      </c>
      <c r="Q3" s="34">
        <f>COUNTIFS($O$12:$O981,$O3,$S$12:$S981,$S$8)</f>
        <v>0</v>
      </c>
      <c r="R3" s="11"/>
      <c r="S3" s="30" t="s">
        <v>21</v>
      </c>
      <c r="T3" s="23">
        <f>COUNTIF($S$12:$S982, $S3)</f>
        <v>0</v>
      </c>
      <c r="U3" s="24" t="str">
        <f t="shared" si="1"/>
        <v>-</v>
      </c>
      <c r="V3" s="25">
        <f>COUNTIFS($S$12:$S981,$S3,$U$12:$U981,V$1)</f>
        <v>0</v>
      </c>
      <c r="W3" s="25">
        <f>COUNTIFS($S$12:$S981,$S3,$U$12:$U981,W$1)</f>
        <v>0</v>
      </c>
      <c r="X3" s="11"/>
      <c r="Y3" s="35" t="s">
        <v>22</v>
      </c>
      <c r="Z3" s="27" t="s">
        <v>16</v>
      </c>
      <c r="AA3" s="11"/>
    </row>
    <row r="4" spans="1:27" ht="25.5">
      <c r="A4" s="1" t="s">
        <v>23</v>
      </c>
      <c r="B4" s="28" t="s">
        <v>24</v>
      </c>
      <c r="C4" s="2"/>
      <c r="D4" s="2"/>
      <c r="E4" s="36" t="s">
        <v>25</v>
      </c>
      <c r="F4" s="2"/>
      <c r="G4" s="2"/>
      <c r="H4" s="2"/>
      <c r="I4" s="3"/>
      <c r="J4" s="2"/>
      <c r="K4" s="22" t="s">
        <v>26</v>
      </c>
      <c r="L4" s="25">
        <f>COUNTIF($K$12:$K982,$K4)</f>
        <v>0</v>
      </c>
      <c r="M4" s="31">
        <f t="shared" si="0"/>
        <v>0</v>
      </c>
      <c r="N4" s="11"/>
      <c r="O4" s="37" t="s">
        <v>27</v>
      </c>
      <c r="P4" s="33">
        <f>COUNTIF($O$12:$O982,O4)</f>
        <v>0</v>
      </c>
      <c r="Q4" s="34">
        <f>COUNTIFS($O$12:$O982,$O4,$S$12:$S982,$S$8)</f>
        <v>0</v>
      </c>
      <c r="R4" s="11"/>
      <c r="S4" s="38" t="s">
        <v>28</v>
      </c>
      <c r="T4" s="23">
        <f>COUNTIF($S$12:$S983, $S4)</f>
        <v>0</v>
      </c>
      <c r="U4" s="24" t="str">
        <f t="shared" si="1"/>
        <v>-</v>
      </c>
      <c r="V4" s="25">
        <f>COUNTIFS($S$12:$S981,$S4,$U$12:$U981,V$1)</f>
        <v>0</v>
      </c>
      <c r="W4" s="25">
        <f>COUNTIFS($S$12:$S981,$S4,$U$12:$U981,W$1)</f>
        <v>0</v>
      </c>
      <c r="X4" s="11"/>
      <c r="Y4" s="39" t="s">
        <v>29</v>
      </c>
      <c r="Z4" s="39" t="str">
        <f>COUNTIFS($S$12:$S981,"*",$U$12:$U981,"BE", $V$12:$V981,"") &amp; " , " &amp; COUNTIFS($S$12:$S981,"*",$U$12:$U981,"FE", $W$12:$W981,"")</f>
        <v>0 , 0</v>
      </c>
      <c r="AA4" s="11"/>
    </row>
    <row r="5" spans="1:27" ht="12.75">
      <c r="A5" s="1" t="s">
        <v>30</v>
      </c>
      <c r="B5" s="28" t="s">
        <v>24</v>
      </c>
      <c r="C5" s="2"/>
      <c r="D5" s="1" t="s">
        <v>13</v>
      </c>
      <c r="E5" s="40" t="s">
        <v>31</v>
      </c>
      <c r="F5" s="2"/>
      <c r="G5" s="2"/>
      <c r="H5" s="2"/>
      <c r="I5" s="3"/>
      <c r="J5" s="2"/>
      <c r="K5" s="41" t="s">
        <v>32</v>
      </c>
      <c r="L5" s="25">
        <f>COUNTIF($K$12:$K983,$K5)</f>
        <v>0</v>
      </c>
      <c r="M5" s="31">
        <f t="shared" si="0"/>
        <v>0</v>
      </c>
      <c r="N5" s="11"/>
      <c r="O5" s="42" t="s">
        <v>33</v>
      </c>
      <c r="P5" s="33">
        <f>COUNTIF($O$12:$O983,O5)</f>
        <v>0</v>
      </c>
      <c r="Q5" s="34">
        <f>COUNTIFS($O$12:$O983,$O5,$S$12:$S983,$S$8)</f>
        <v>0</v>
      </c>
      <c r="R5" s="11"/>
      <c r="S5" s="43" t="s">
        <v>34</v>
      </c>
      <c r="T5" s="23">
        <f>COUNTIF($S$12:$S984, $S5)</f>
        <v>0</v>
      </c>
      <c r="U5" s="24" t="str">
        <f t="shared" si="1"/>
        <v>-</v>
      </c>
      <c r="V5" s="25">
        <f>COUNTIFS($S$12:$S981,$S5,$U$12:$U981,V$1)</f>
        <v>0</v>
      </c>
      <c r="W5" s="25">
        <f>COUNTIFS($S$12:$S981,$S5,$U$12:$U981,W$1)</f>
        <v>0</v>
      </c>
      <c r="X5" s="11"/>
      <c r="Y5" s="44" t="s">
        <v>35</v>
      </c>
      <c r="Z5" s="45" t="str">
        <f>IF(MAX(X12:X981) &gt; 0, MAX(X12:X981), "No Target")</f>
        <v>No Target</v>
      </c>
      <c r="AA5" s="46"/>
    </row>
    <row r="6" spans="1:27" ht="25.5">
      <c r="A6" s="1" t="s">
        <v>36</v>
      </c>
      <c r="B6" s="28" t="s">
        <v>24</v>
      </c>
      <c r="C6" s="2"/>
      <c r="D6" s="2"/>
      <c r="E6" s="47" t="s">
        <v>37</v>
      </c>
      <c r="F6" s="2"/>
      <c r="G6" s="2"/>
      <c r="H6" s="2"/>
      <c r="I6" s="3"/>
      <c r="J6" s="2"/>
      <c r="K6" s="48" t="s">
        <v>38</v>
      </c>
      <c r="L6" s="25">
        <f>COUNTIF($K$12:$K984,$K6)</f>
        <v>0</v>
      </c>
      <c r="M6" s="31">
        <f t="shared" si="0"/>
        <v>0</v>
      </c>
      <c r="N6" s="11"/>
      <c r="O6" s="49" t="s">
        <v>32</v>
      </c>
      <c r="P6" s="33">
        <f>COUNTIF($O$12:$O984,O6)</f>
        <v>0</v>
      </c>
      <c r="Q6" s="34">
        <f>COUNTIFS($O$12:$O984,$O6,$S$12:$S984,$S$8)</f>
        <v>0</v>
      </c>
      <c r="R6" s="11"/>
      <c r="S6" s="50" t="s">
        <v>39</v>
      </c>
      <c r="T6" s="23">
        <f>COUNTIF($S$12:$S985, $S6)</f>
        <v>0</v>
      </c>
      <c r="U6" s="24" t="str">
        <f t="shared" si="1"/>
        <v>-</v>
      </c>
      <c r="V6" s="25">
        <f>COUNTIFS($S$12:$S981,$S6,$U$12:$U981,V$1)</f>
        <v>0</v>
      </c>
      <c r="W6" s="25">
        <f>COUNTIFS($S$12:$S981,$S6,$U$12:$U981,W$1)</f>
        <v>0</v>
      </c>
      <c r="X6" s="11"/>
      <c r="Y6" s="51" t="s">
        <v>40</v>
      </c>
      <c r="Z6" s="45" t="str">
        <f>IF(MAX(Y12:Y981) &gt; 0, MAX(Y12:Y981), "No Target")</f>
        <v>No Target</v>
      </c>
      <c r="AA6" s="11"/>
    </row>
    <row r="7" spans="1:27" ht="25.5">
      <c r="C7" s="2"/>
      <c r="D7" s="2"/>
      <c r="E7" s="52" t="s">
        <v>41</v>
      </c>
      <c r="F7" s="2"/>
      <c r="G7" s="2"/>
      <c r="H7" s="2"/>
      <c r="I7" s="3"/>
      <c r="J7" s="2"/>
      <c r="K7" s="53" t="s">
        <v>42</v>
      </c>
      <c r="L7" s="25">
        <f>COUNTIFS($K$12:$K981,"",E12:E981,"*")</f>
        <v>2</v>
      </c>
      <c r="M7" s="31">
        <f t="shared" si="0"/>
        <v>1</v>
      </c>
      <c r="N7" s="11"/>
      <c r="O7" s="54" t="s">
        <v>43</v>
      </c>
      <c r="P7" s="20">
        <f>COUNTIF($O$12:$O985,O7)</f>
        <v>0</v>
      </c>
      <c r="Q7" s="34" t="s">
        <v>13</v>
      </c>
      <c r="R7" s="2"/>
      <c r="S7" s="55" t="s">
        <v>44</v>
      </c>
      <c r="T7" s="23">
        <f>COUNTIF($S$12:$S986, $S7)</f>
        <v>0</v>
      </c>
      <c r="U7" s="24" t="str">
        <f t="shared" si="1"/>
        <v>-</v>
      </c>
      <c r="V7" s="25">
        <f>COUNTIFS($S$12:$S981,$S7,$U$12:$U981,V$1)</f>
        <v>0</v>
      </c>
      <c r="W7" s="25">
        <f>COUNTIFS($S$12:$S981,$S7,$U$12:$U981,W$1)</f>
        <v>0</v>
      </c>
      <c r="X7" s="11"/>
      <c r="Y7" s="1" t="s">
        <v>45</v>
      </c>
      <c r="Z7" s="56">
        <f ca="1">TODAY()</f>
        <v>46172</v>
      </c>
      <c r="AA7" s="11"/>
    </row>
    <row r="8" spans="1:27" ht="12.75">
      <c r="A8" s="2"/>
      <c r="B8" s="2"/>
      <c r="C8" s="2"/>
      <c r="D8" s="2"/>
      <c r="E8" s="57" t="s">
        <v>46</v>
      </c>
      <c r="F8" s="2"/>
      <c r="G8" s="2"/>
      <c r="H8" s="2"/>
      <c r="I8" s="3"/>
      <c r="J8" s="2"/>
      <c r="K8" s="58" t="s">
        <v>47</v>
      </c>
      <c r="L8" s="59">
        <f>SUM(L2:L5)</f>
        <v>0</v>
      </c>
      <c r="M8" s="60">
        <f t="shared" si="0"/>
        <v>0</v>
      </c>
      <c r="N8" s="11"/>
      <c r="O8" s="61" t="s">
        <v>48</v>
      </c>
      <c r="P8" s="33">
        <f>COUNTIF($O$12:$O986,O8)</f>
        <v>0</v>
      </c>
      <c r="Q8" s="34" t="s">
        <v>13</v>
      </c>
      <c r="R8" s="2"/>
      <c r="S8" s="62" t="s">
        <v>49</v>
      </c>
      <c r="T8" s="63">
        <f>COUNTIF($S$12:$S987, $S8)</f>
        <v>0</v>
      </c>
      <c r="U8" s="64" t="str">
        <f t="shared" si="1"/>
        <v>-</v>
      </c>
      <c r="V8" s="25">
        <f>COUNTIFS($S$12:$S981,$S8,$U$12:$U981,V$1)</f>
        <v>0</v>
      </c>
      <c r="W8" s="25">
        <f>COUNTIFS($S$12:$S981,$S8,$U$12:$U981,W$1)</f>
        <v>0</v>
      </c>
      <c r="X8" s="11"/>
      <c r="Y8" s="11"/>
      <c r="Z8" s="11"/>
      <c r="AA8" s="11"/>
    </row>
    <row r="9" spans="1:27" ht="12.75">
      <c r="A9" s="2"/>
      <c r="B9" s="2"/>
      <c r="C9" s="2"/>
      <c r="D9" s="2"/>
      <c r="E9" s="11"/>
      <c r="F9" s="2"/>
      <c r="G9" s="2"/>
      <c r="H9" s="2"/>
      <c r="I9" s="3"/>
      <c r="J9" s="2"/>
      <c r="K9" s="11"/>
      <c r="L9" s="11"/>
      <c r="M9" s="11"/>
      <c r="N9" s="11"/>
      <c r="O9" s="65" t="s">
        <v>50</v>
      </c>
      <c r="P9" s="20">
        <f>COUNTIFS($O$12:$O981, "",$R$12:$R981,"*")</f>
        <v>0</v>
      </c>
      <c r="Q9" s="66">
        <f>COUNTIFS($O$12:$O981,"",$S$12:$S981,$S$8)</f>
        <v>0</v>
      </c>
      <c r="R9" s="2"/>
      <c r="S9" s="41" t="s">
        <v>51</v>
      </c>
      <c r="T9" s="23">
        <f>COUNTIF($S$12:$S988, $S9)</f>
        <v>0</v>
      </c>
      <c r="U9" s="24" t="str">
        <f t="shared" si="1"/>
        <v>-</v>
      </c>
      <c r="V9" s="25">
        <f>COUNTIFS($S$12:$S981,$S9,$U$12:$U981,V$1)</f>
        <v>0</v>
      </c>
      <c r="W9" s="25">
        <f>COUNTIFS($S$12:$S981,$S9,$U$12:$U981,W$1)</f>
        <v>0</v>
      </c>
      <c r="X9" s="2"/>
      <c r="Y9" s="11"/>
      <c r="Z9" s="11"/>
      <c r="AA9" s="11"/>
    </row>
    <row r="10" spans="1:27" ht="25.5">
      <c r="A10" s="2"/>
      <c r="B10" s="2"/>
      <c r="C10" s="2"/>
      <c r="D10" s="67" t="s">
        <v>52</v>
      </c>
      <c r="E10" s="68">
        <f>COUNTA($E$13:$E981)</f>
        <v>2</v>
      </c>
      <c r="F10" s="2"/>
      <c r="G10" s="2"/>
      <c r="H10" s="2"/>
      <c r="I10" s="3"/>
      <c r="J10" s="2"/>
      <c r="K10" s="105" t="s">
        <v>53</v>
      </c>
      <c r="L10" s="106"/>
      <c r="M10" s="106"/>
      <c r="N10" s="106"/>
      <c r="O10" s="107" t="s">
        <v>54</v>
      </c>
      <c r="P10" s="106"/>
      <c r="Q10" s="106"/>
      <c r="R10" s="108"/>
      <c r="S10" s="109" t="s">
        <v>55</v>
      </c>
      <c r="T10" s="106"/>
      <c r="U10" s="106"/>
      <c r="V10" s="106"/>
      <c r="W10" s="106"/>
      <c r="X10" s="106"/>
      <c r="Y10" s="106"/>
      <c r="Z10" s="106"/>
      <c r="AA10" s="110"/>
    </row>
    <row r="11" spans="1:27" ht="25.5" customHeight="1">
      <c r="A11" s="69" t="s">
        <v>56</v>
      </c>
      <c r="B11" s="69" t="s">
        <v>57</v>
      </c>
      <c r="C11" s="69" t="s">
        <v>58</v>
      </c>
      <c r="D11" s="69" t="s">
        <v>59</v>
      </c>
      <c r="E11" s="69" t="s">
        <v>60</v>
      </c>
      <c r="F11" s="69" t="s">
        <v>61</v>
      </c>
      <c r="G11" s="69" t="s">
        <v>62</v>
      </c>
      <c r="H11" s="70" t="s">
        <v>63</v>
      </c>
      <c r="I11" s="71" t="s">
        <v>64</v>
      </c>
      <c r="J11" s="72" t="s">
        <v>65</v>
      </c>
      <c r="K11" s="73" t="s">
        <v>66</v>
      </c>
      <c r="L11" s="74" t="s">
        <v>67</v>
      </c>
      <c r="M11" s="74" t="s">
        <v>68</v>
      </c>
      <c r="N11" s="75" t="s">
        <v>69</v>
      </c>
      <c r="O11" s="76" t="s">
        <v>70</v>
      </c>
      <c r="P11" s="77" t="s">
        <v>67</v>
      </c>
      <c r="Q11" s="77" t="s">
        <v>71</v>
      </c>
      <c r="R11" s="77" t="s">
        <v>5</v>
      </c>
      <c r="S11" s="78" t="s">
        <v>72</v>
      </c>
      <c r="T11" s="79" t="s">
        <v>67</v>
      </c>
      <c r="U11" s="79" t="s">
        <v>73</v>
      </c>
      <c r="V11" s="79" t="s">
        <v>74</v>
      </c>
      <c r="W11" s="79" t="s">
        <v>75</v>
      </c>
      <c r="X11" s="79" t="s">
        <v>76</v>
      </c>
      <c r="Y11" s="79" t="s">
        <v>77</v>
      </c>
      <c r="Z11" s="80" t="s">
        <v>78</v>
      </c>
      <c r="AA11" s="80" t="s">
        <v>79</v>
      </c>
    </row>
    <row r="12" spans="1:27" ht="12.75" customHeight="1">
      <c r="A12" s="81">
        <v>1</v>
      </c>
      <c r="B12" s="82" t="s">
        <v>80</v>
      </c>
      <c r="C12" s="83"/>
      <c r="D12" s="83"/>
      <c r="E12" s="83"/>
      <c r="F12" s="84">
        <f ca="1">IFERROR(__xludf.DUMMYFUNCTION("PERCENTIF($K13:$K14,$K$2)"),0)</f>
        <v>0</v>
      </c>
      <c r="G12" s="83"/>
      <c r="H12" s="83"/>
      <c r="I12" s="85"/>
      <c r="J12" s="83" t="str">
        <f ca="1">IF(A12&lt;&gt;"", RANDBETWEEN(2, 15) &amp; " mins", "")</f>
        <v>3 mins</v>
      </c>
      <c r="K12" s="86"/>
      <c r="L12" s="87"/>
      <c r="M12" s="83"/>
      <c r="N12" s="83"/>
      <c r="O12" s="88"/>
      <c r="P12" s="89"/>
      <c r="Q12" s="83"/>
      <c r="R12" s="83"/>
      <c r="S12" s="86"/>
      <c r="T12" s="89"/>
      <c r="U12" s="83"/>
      <c r="V12" s="83"/>
      <c r="W12" s="83"/>
      <c r="X12" s="87"/>
      <c r="Y12" s="87"/>
      <c r="Z12" s="83"/>
      <c r="AA12" s="83"/>
    </row>
    <row r="13" spans="1:27" ht="216.75" customHeight="1">
      <c r="A13" s="81" t="s">
        <v>81</v>
      </c>
      <c r="B13" s="90" t="s">
        <v>82</v>
      </c>
      <c r="C13" s="90" t="s">
        <v>13</v>
      </c>
      <c r="D13" s="90" t="s">
        <v>13</v>
      </c>
      <c r="E13" s="90" t="s">
        <v>83</v>
      </c>
      <c r="F13" s="91" t="s">
        <v>84</v>
      </c>
      <c r="G13" s="91" t="s">
        <v>85</v>
      </c>
      <c r="H13" s="92" t="s">
        <v>86</v>
      </c>
      <c r="I13" s="93" t="s">
        <v>64</v>
      </c>
      <c r="J13" s="92" t="s">
        <v>87</v>
      </c>
      <c r="K13" s="94"/>
      <c r="L13" s="95"/>
      <c r="M13" s="96"/>
      <c r="N13" s="97"/>
      <c r="O13" s="98"/>
      <c r="P13" s="99"/>
      <c r="Q13" s="100"/>
      <c r="R13" s="100"/>
      <c r="S13" s="101"/>
      <c r="T13" s="99"/>
      <c r="U13" s="100"/>
      <c r="V13" s="92"/>
      <c r="W13" s="100"/>
      <c r="X13" s="102"/>
      <c r="Y13" s="102"/>
      <c r="Z13" s="100"/>
      <c r="AA13" s="100"/>
    </row>
    <row r="14" spans="1:27" ht="167.25" customHeight="1">
      <c r="A14" s="111" t="s">
        <v>88</v>
      </c>
      <c r="B14" s="112" t="s">
        <v>82</v>
      </c>
      <c r="C14" s="112" t="s">
        <v>13</v>
      </c>
      <c r="D14" s="112" t="s">
        <v>13</v>
      </c>
      <c r="E14" s="113" t="s">
        <v>89</v>
      </c>
      <c r="F14" s="115" t="s">
        <v>90</v>
      </c>
      <c r="G14" s="91" t="s">
        <v>91</v>
      </c>
      <c r="H14" s="92" t="s">
        <v>86</v>
      </c>
      <c r="I14" s="93" t="s">
        <v>64</v>
      </c>
      <c r="J14" s="116" t="s">
        <v>87</v>
      </c>
      <c r="K14" s="114"/>
      <c r="L14" s="114"/>
      <c r="M14" s="114"/>
      <c r="N14" s="117"/>
      <c r="O14" s="114"/>
      <c r="P14" s="114"/>
      <c r="Q14" s="114"/>
      <c r="R14" s="117"/>
    </row>
  </sheetData>
  <mergeCells count="4">
    <mergeCell ref="A2:E2"/>
    <mergeCell ref="K10:N10"/>
    <mergeCell ref="O10:R10"/>
    <mergeCell ref="S10:AA10"/>
  </mergeCells>
  <hyperlinks>
    <hyperlink ref="K1" r:id="rId1" xr:uid="{00000000-0004-0000-0000-000000000000}"/>
    <hyperlink ref="O1" r:id="rId2" xr:uid="{00000000-0004-0000-0000-000001000000}"/>
    <hyperlink ref="S1" r:id="rId3" xr:uid="{00000000-0004-0000-0000-000002000000}"/>
    <hyperlink ref="K10" location="null!B5:Q5" display="Testing Update" xr:uid="{00000000-0004-0000-0000-000003000000}"/>
    <hyperlink ref="O10" location="null!B25:O25" display="Issue Update" xr:uid="{00000000-0004-0000-0000-000004000000}"/>
    <hyperlink ref="S10" location="null!B36:S36" display="Developer Update" xr:uid="{00000000-0004-0000-0000-000005000000}"/>
  </hyperlinks>
  <pageMargins left="0.7" right="0.7" top="0.75" bottom="0.75" header="0.3" footer="0.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raditya aryabudhi ramadhan</dc:creator>
  <cp:lastModifiedBy>raditya aryabudhi ramadhan</cp:lastModifiedBy>
  <dcterms:created xsi:type="dcterms:W3CDTF">2026-04-22T04:39:38Z</dcterms:created>
  <dcterms:modified xsi:type="dcterms:W3CDTF">2026-05-30T15:16:37Z</dcterms:modified>
</cp:coreProperties>
</file>